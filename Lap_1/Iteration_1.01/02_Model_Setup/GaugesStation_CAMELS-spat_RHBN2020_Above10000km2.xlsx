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emmaZ\Desktop\"/>
    </mc:Choice>
  </mc:AlternateContent>
  <xr:revisionPtr revIDLastSave="0" documentId="13_ncr:1_{CA1AD2A6-5EDF-4B68-9D26-7121FDB0B45A}" xr6:coauthVersionLast="47" xr6:coauthVersionMax="47" xr10:uidLastSave="{00000000-0000-0000-0000-000000000000}"/>
  <bookViews>
    <workbookView xWindow="-120" yWindow="-120" windowWidth="29040" windowHeight="15720" activeTab="1" xr2:uid="{B24F03F6-8DE0-40F5-9B71-5F3357DB26DA}"/>
  </bookViews>
  <sheets>
    <sheet name="GaugesStation_CAMELS-spat_RHBN2" sheetId="1" r:id="rId1"/>
    <sheet name="Sheet1" sheetId="2" r:id="rId2"/>
  </sheets>
  <definedNames>
    <definedName name="_xlnm.Database">'GaugesStation_CAMELS-spat_RHBN2'!$A$1:$AR$48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1" l="1"/>
  <c r="AL40" i="1"/>
  <c r="AL46" i="1"/>
  <c r="AL16" i="1"/>
  <c r="AL10" i="1"/>
  <c r="AL29" i="1"/>
  <c r="AL3" i="1"/>
  <c r="AL4" i="1"/>
  <c r="AL5" i="1"/>
  <c r="AL6" i="1"/>
  <c r="AL7" i="1"/>
  <c r="AL8" i="1"/>
  <c r="AL9" i="1"/>
  <c r="AL11" i="1"/>
  <c r="AL12" i="1"/>
  <c r="AL13" i="1"/>
  <c r="AL14" i="1"/>
  <c r="AL15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30" i="1"/>
  <c r="AL31" i="1"/>
  <c r="AL32" i="1"/>
  <c r="AL33" i="1"/>
  <c r="AL34" i="1"/>
  <c r="AL35" i="1"/>
  <c r="AL36" i="1"/>
  <c r="AL37" i="1"/>
  <c r="AL38" i="1"/>
  <c r="AL39" i="1"/>
  <c r="AL41" i="1"/>
  <c r="AL42" i="1"/>
  <c r="AL43" i="1"/>
  <c r="AL44" i="1"/>
  <c r="AL45" i="1"/>
  <c r="AL47" i="1"/>
  <c r="AL48" i="1"/>
</calcChain>
</file>

<file path=xl/sharedStrings.xml><?xml version="1.0" encoding="utf-8"?>
<sst xmlns="http://schemas.openxmlformats.org/spreadsheetml/2006/main" count="693" uniqueCount="176">
  <si>
    <t>Unnamed__0</t>
  </si>
  <si>
    <t>Country</t>
  </si>
  <si>
    <t>Station_id</t>
  </si>
  <si>
    <t>Station_na</t>
  </si>
  <si>
    <t>Station_la</t>
  </si>
  <si>
    <t>Station_lo</t>
  </si>
  <si>
    <t>Station_so</t>
  </si>
  <si>
    <t>Outlet_lat</t>
  </si>
  <si>
    <t>Outlet_lon</t>
  </si>
  <si>
    <t>Outlet_sou</t>
  </si>
  <si>
    <t>Mapped_lat</t>
  </si>
  <si>
    <t>Mapped_lon</t>
  </si>
  <si>
    <t>Manual_lat</t>
  </si>
  <si>
    <t>Manual_lon</t>
  </si>
  <si>
    <t>Manual_out</t>
  </si>
  <si>
    <t>Basin_area</t>
  </si>
  <si>
    <t>Ref_area_1</t>
  </si>
  <si>
    <t>Ref_area_2</t>
  </si>
  <si>
    <t>Ref_area_3</t>
  </si>
  <si>
    <t>Ref_area_4</t>
  </si>
  <si>
    <t>Ref_shape</t>
  </si>
  <si>
    <t>Ref_shape_</t>
  </si>
  <si>
    <t>Ref_shape1</t>
  </si>
  <si>
    <t>Ref_and_ne</t>
  </si>
  <si>
    <t>Manual_del</t>
  </si>
  <si>
    <t>Delineatio</t>
  </si>
  <si>
    <t>Delineat_1</t>
  </si>
  <si>
    <t>iv_flow_ob</t>
  </si>
  <si>
    <t>iv_flow__1</t>
  </si>
  <si>
    <t>flow_obs_m</t>
  </si>
  <si>
    <t>dv_flow_ob</t>
  </si>
  <si>
    <t>dv_flow__1</t>
  </si>
  <si>
    <t>flow_obs_1</t>
  </si>
  <si>
    <t>dv_flow__2</t>
  </si>
  <si>
    <t>is_headwat</t>
  </si>
  <si>
    <t>sub_basins</t>
  </si>
  <si>
    <t>Flag</t>
  </si>
  <si>
    <t>COMID</t>
  </si>
  <si>
    <t>unitarea</t>
  </si>
  <si>
    <t>NextDownID</t>
  </si>
  <si>
    <t>uparea</t>
  </si>
  <si>
    <t>ncontr</t>
  </si>
  <si>
    <t>RHBN_N_202</t>
  </si>
  <si>
    <t>CAN</t>
  </si>
  <si>
    <t>01AD002</t>
  </si>
  <si>
    <t>SAINT JOHN RIVER AT FORT KENT</t>
  </si>
  <si>
    <t>WSC 20222 data set</t>
  </si>
  <si>
    <t>HYDAT gross drainage area</t>
  </si>
  <si>
    <t>HYDAT effective drainage area</t>
  </si>
  <si>
    <t>yes</t>
  </si>
  <si>
    <t>WSC 2022 data set</t>
  </si>
  <si>
    <t>high</t>
  </si>
  <si>
    <t>AST</t>
  </si>
  <si>
    <t>02RF001</t>
  </si>
  <si>
    <t>ASHUAPMUSHUAN (RIVIERE) ├Ç LA T├èTE DE LA CHUTE AUX SAUMONS</t>
  </si>
  <si>
    <t>EST</t>
  </si>
  <si>
    <t>02UC002</t>
  </si>
  <si>
    <t>MOISIE (RIVIERE) ├Ç 5,1 KM EN AMONT DU PONT DU Q.N.S.L.R.</t>
  </si>
  <si>
    <t>02WB003</t>
  </si>
  <si>
    <t>NATASHQUAN (RIVIERE) ├Ç 0,6 KM EN AVAL DE LA D├ëCHARGE DU LAC ALIESTE</t>
  </si>
  <si>
    <t>03KC004</t>
  </si>
  <si>
    <t>MELEZES (RIVIERE AUX) ├Ç 7,6 KM EN AMONT DE LA CONFLUENCE AVEC LA KOKSOAK</t>
  </si>
  <si>
    <t>03MB002</t>
  </si>
  <si>
    <t>BALEINE (RIVIERE A LA) ├Ç 40,2 KM DE L'EMBOUCHURE</t>
  </si>
  <si>
    <t>03MD001</t>
  </si>
  <si>
    <t>GEORGE (RIVIERE) ├Ç LA SORTIE DU LAC DE LA HUTTE SAUVAGE</t>
  </si>
  <si>
    <t>03OC003</t>
  </si>
  <si>
    <t>ATIKONAK RIVER ABOVE PANCHIA LAKE</t>
  </si>
  <si>
    <t>NST</t>
  </si>
  <si>
    <t>03QC001</t>
  </si>
  <si>
    <t>EAGLE RIVER ABOVE FALLS</t>
  </si>
  <si>
    <t>04AD002</t>
  </si>
  <si>
    <t>GODS RIVER NEAR SHAMATTAWA</t>
  </si>
  <si>
    <t>CST</t>
  </si>
  <si>
    <t>04EA001</t>
  </si>
  <si>
    <t>EKWAN RIVER BELOW NORTH WASHAGAMI RIVER</t>
  </si>
  <si>
    <t>low</t>
  </si>
  <si>
    <t>Very flat region, difference with reference shape likely explained by DEM misidentifying a channel as land</t>
  </si>
  <si>
    <t>04FC001</t>
  </si>
  <si>
    <t>ATTAWAPISKAT RIVER BELOW MUKETEI RIVER</t>
  </si>
  <si>
    <t>04GB004</t>
  </si>
  <si>
    <t>OGOKI RIVER ABOVE WHITECLAY LAKE</t>
  </si>
  <si>
    <t>medium</t>
  </si>
  <si>
    <t>Very flat region, difference with reference shape likely explained by DEM differences due to presence of lakes/potholes</t>
  </si>
  <si>
    <t>05LH005</t>
  </si>
  <si>
    <t>WATERHEN RIVER NEAR WATERHEN</t>
  </si>
  <si>
    <t>05TD001</t>
  </si>
  <si>
    <t>GRASS RIVER ABOVE STANDING STONE FALLS</t>
  </si>
  <si>
    <t>06AD006</t>
  </si>
  <si>
    <t>BEAVER RIVER AT COLD LAKE RESERVE</t>
  </si>
  <si>
    <t>11800.0</t>
  </si>
  <si>
    <t>MST</t>
  </si>
  <si>
    <t>06CD002</t>
  </si>
  <si>
    <t>CHURCHILL RIVER ABOVE OTTER RAPIDS</t>
  </si>
  <si>
    <t>112000.0</t>
  </si>
  <si>
    <t>06DA001</t>
  </si>
  <si>
    <t>WOLLASTON LAKE AT ROSS CHANNEL</t>
  </si>
  <si>
    <t>16400.0</t>
  </si>
  <si>
    <t>06GD001</t>
  </si>
  <si>
    <t>SEAL RIVER BELOW GREAT ISLAND</t>
  </si>
  <si>
    <t>06KC003</t>
  </si>
  <si>
    <t>DUBAWNT RIVER AT OUTLET OF MARJORIE LAKE</t>
  </si>
  <si>
    <t>06LA001</t>
  </si>
  <si>
    <t>KAZAN RIVER AT OUTLET OF ENNADAI LAKE</t>
  </si>
  <si>
    <t>06LC001</t>
  </si>
  <si>
    <t>KAZAN RIVER ABOVE KAZAN FALLS</t>
  </si>
  <si>
    <t>07CD001</t>
  </si>
  <si>
    <t>CLEARWATER RIVER AT DRAPER</t>
  </si>
  <si>
    <t>30800.0</t>
  </si>
  <si>
    <t>07FB001</t>
  </si>
  <si>
    <t>PINE RIVER AT EAST PINE</t>
  </si>
  <si>
    <t>07LE002</t>
  </si>
  <si>
    <t>FOND DU LAC RIVER AT OUTLET OF BLACK LAKE</t>
  </si>
  <si>
    <t>HYDAT</t>
  </si>
  <si>
    <t>50700.0</t>
  </si>
  <si>
    <t>WSC 2016 data set</t>
  </si>
  <si>
    <t>07OB001</t>
  </si>
  <si>
    <t>HAY RIVER NEAR HAY RIVER</t>
  </si>
  <si>
    <t>51300.0</t>
  </si>
  <si>
    <t>07OB003</t>
  </si>
  <si>
    <t>HAY RIVER NEAR MEANDER RIVER</t>
  </si>
  <si>
    <t>36900.0</t>
  </si>
  <si>
    <t>07RD001</t>
  </si>
  <si>
    <t>LOCKHART RIVER AT OUTLET OF ARTILLERY LAKE</t>
  </si>
  <si>
    <t>08BB005</t>
  </si>
  <si>
    <t>TAKU RIVER NEAR JUNEAU</t>
  </si>
  <si>
    <t>LST</t>
  </si>
  <si>
    <t>08DB001</t>
  </si>
  <si>
    <t>NASS RIVER ABOVE SHUMAL CREEK</t>
  </si>
  <si>
    <t>PST</t>
  </si>
  <si>
    <t>08JE001</t>
  </si>
  <si>
    <t>STUART RIVER NEAR FORT ST. JAMES</t>
  </si>
  <si>
    <t>08LA001</t>
  </si>
  <si>
    <t>CLEARWATER RIVER NEAR CLEARWATER STATION</t>
  </si>
  <si>
    <t>09BC001</t>
  </si>
  <si>
    <t>PELLY RIVER AT PELLY CROSSING</t>
  </si>
  <si>
    <t>09FC001</t>
  </si>
  <si>
    <t>OLD CROW RIVER NEAR THE MOUTH</t>
  </si>
  <si>
    <t>10AB001</t>
  </si>
  <si>
    <t>FRANCES RIVER NEAR WATSON LAKE</t>
  </si>
  <si>
    <t>10BE001</t>
  </si>
  <si>
    <t>LIARD RIVER AT LOWER CROSSING</t>
  </si>
  <si>
    <t>10CD001</t>
  </si>
  <si>
    <t>MUSKWA RIVER NEAR FORT NELSON</t>
  </si>
  <si>
    <t>10EB001</t>
  </si>
  <si>
    <t>SOUTH NAHANNI RIVER ABOVE VIRGINIA FALLS</t>
  </si>
  <si>
    <t>10ED002</t>
  </si>
  <si>
    <t>LIARD RIVER NEAR THE MOUTH</t>
  </si>
  <si>
    <t>10GB006</t>
  </si>
  <si>
    <t>WILLOWLAKE RIVER ABOVE METAHDALI CREEK</t>
  </si>
  <si>
    <t>10JC003</t>
  </si>
  <si>
    <t>GREAT BEAR RIVER AT OUTLET OF GREAT BEAR LAKE</t>
  </si>
  <si>
    <t>10LA002</t>
  </si>
  <si>
    <t>ARCTIC RED RIVER NEAR THE MOUTH</t>
  </si>
  <si>
    <t>10MC002</t>
  </si>
  <si>
    <t>PEEL RIVER ABOVE FORT MCPHERSON</t>
  </si>
  <si>
    <t>10NC001</t>
  </si>
  <si>
    <t>ANDERSON RIVER BELOW CARNWATH RIVER</t>
  </si>
  <si>
    <t>10PB001</t>
  </si>
  <si>
    <t>COPPERMINE RIVER AT OUTLET OF POINT LAKE</t>
  </si>
  <si>
    <t>10QD001</t>
  </si>
  <si>
    <t>ELLICE RIVER NEAR THE MOUTH</t>
  </si>
  <si>
    <t>10RC001</t>
  </si>
  <si>
    <t>BACK RIVER ABOVE HERMANN RIVER</t>
  </si>
  <si>
    <t>Remove</t>
  </si>
  <si>
    <t>AreaDiff</t>
  </si>
  <si>
    <t>It is lake</t>
  </si>
  <si>
    <t>KGE</t>
  </si>
  <si>
    <t>NSE</t>
  </si>
  <si>
    <t>KGE_2012</t>
  </si>
  <si>
    <t>PBIAS</t>
  </si>
  <si>
    <t>It is Lake</t>
  </si>
  <si>
    <t>Remark</t>
  </si>
  <si>
    <t>AreaDiff (%)</t>
  </si>
  <si>
    <t>Station ID</t>
  </si>
  <si>
    <t>No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</si>
</sst>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"/>
    <numFmt numFmtId="165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" fontId="0" fillId="0" borderId="0" xfId="0" applyNumberFormat="1"/>
    <xf numFmtId="164" fontId="0" fillId="0" borderId="0" xfId="0" applyNumberFormat="1"/>
    <xf numFmtId="1" fontId="0" fillId="33" borderId="0" xfId="0" applyNumberFormat="1" applyFill="1"/>
    <xf numFmtId="2" fontId="0" fillId="0" borderId="0" xfId="0" applyNumberFormat="1"/>
    <xf numFmtId="14" fontId="0" fillId="0" borderId="0" xfId="0" applyNumberFormat="1"/>
    <xf numFmtId="1" fontId="0" fillId="34" borderId="0" xfId="0" applyNumberFormat="1" applyFill="1"/>
    <xf numFmtId="0" fontId="0" fillId="0" borderId="10" xfId="0" applyBorder="1"/>
    <xf numFmtId="2" fontId="0" fillId="33" borderId="10" xfId="0" applyNumberFormat="1" applyFill="1" applyBorder="1"/>
    <xf numFmtId="165" fontId="0" fillId="33" borderId="10" xfId="0" applyNumberFormat="1" applyFill="1" applyBorder="1"/>
    <xf numFmtId="2" fontId="0" fillId="0" borderId="10" xfId="0" applyNumberFormat="1" applyBorder="1"/>
    <xf numFmtId="165" fontId="0" fillId="0" borderId="10" xfId="0" applyNumberFormat="1" applyBorder="1"/>
    <xf numFmtId="2" fontId="0" fillId="0" borderId="10" xfId="0" applyNumberFormat="1" applyFill="1" applyBorder="1"/>
    <xf numFmtId="165" fontId="0" fillId="0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AA4BA-FF7F-4B44-BA72-657D869D65E8}">
  <dimension ref="A1:BD48"/>
  <sheetViews>
    <sheetView topLeftCell="AE1" zoomScale="80" zoomScaleNormal="80" workbookViewId="0">
      <selection activeCell="C42" sqref="C42:E42"/>
    </sheetView>
  </sheetViews>
  <sheetFormatPr defaultRowHeight="15" x14ac:dyDescent="0.25"/>
  <cols>
    <col min="1" max="1" width="10.5703125" style="1" customWidth="1"/>
    <col min="2" max="2" width="9" style="1" bestFit="1" customWidth="1"/>
    <col min="3" max="3" width="10.5703125" style="1" customWidth="1"/>
    <col min="4" max="4" width="11" style="1" bestFit="1" customWidth="1"/>
    <col min="5" max="5" width="94.85546875" style="1" bestFit="1" customWidth="1"/>
    <col min="6" max="7" width="19.5703125" style="2" customWidth="1"/>
    <col min="8" max="8" width="20.85546875" style="1" bestFit="1" customWidth="1"/>
    <col min="9" max="10" width="19.5703125" style="2" customWidth="1"/>
    <col min="11" max="11" width="20.85546875" style="1" bestFit="1" customWidth="1"/>
    <col min="12" max="15" width="19.5703125" style="2" customWidth="1"/>
    <col min="16" max="16" width="12.85546875" style="1" bestFit="1" customWidth="1"/>
    <col min="17" max="17" width="19.5703125" style="2" customWidth="1"/>
    <col min="18" max="18" width="28.5703125" style="1" bestFit="1" customWidth="1"/>
    <col min="19" max="19" width="19.5703125" style="2" customWidth="1"/>
    <col min="20" max="20" width="31.42578125" style="1" bestFit="1" customWidth="1"/>
    <col min="21" max="21" width="12.42578125" style="1" bestFit="1" customWidth="1"/>
    <col min="22" max="22" width="11.7109375" style="1" bestFit="1" customWidth="1"/>
    <col min="23" max="23" width="19.42578125" style="1" bestFit="1" customWidth="1"/>
    <col min="24" max="25" width="19.5703125" style="2" customWidth="1"/>
    <col min="26" max="26" width="12.42578125" style="1" bestFit="1" customWidth="1"/>
    <col min="27" max="27" width="11" style="1" bestFit="1" customWidth="1"/>
    <col min="28" max="28" width="11.42578125" style="1" customWidth="1"/>
    <col min="29" max="30" width="11.28515625" bestFit="1" customWidth="1"/>
    <col min="31" max="31" width="10.5703125" style="1" customWidth="1"/>
    <col min="32" max="32" width="10.7109375" bestFit="1" customWidth="1"/>
    <col min="33" max="33" width="11.28515625" bestFit="1" customWidth="1"/>
    <col min="34" max="34" width="10.5703125" style="1" customWidth="1"/>
    <col min="35" max="35" width="12.140625" style="1" bestFit="1" customWidth="1"/>
    <col min="36" max="38" width="10.5703125" style="1" customWidth="1"/>
    <col min="39" max="39" width="22.42578125" bestFit="1" customWidth="1"/>
    <col min="40" max="40" width="22.42578125" style="2" bestFit="1" customWidth="1"/>
    <col min="41" max="41" width="22.42578125" bestFit="1" customWidth="1"/>
    <col min="42" max="42" width="19.5703125" style="2" customWidth="1"/>
    <col min="43" max="43" width="18.5703125" style="1" customWidth="1"/>
    <col min="44" max="44" width="19.5703125" style="2" customWidth="1"/>
    <col min="50" max="51" width="13.5703125" style="1" customWidth="1"/>
    <col min="55" max="55" width="10.42578125" customWidth="1"/>
    <col min="56" max="56" width="11.5703125" style="1" bestFit="1" customWidth="1"/>
  </cols>
  <sheetData>
    <row r="1" spans="1:56" x14ac:dyDescent="0.25">
      <c r="A1" s="1" t="s">
        <v>0</v>
      </c>
      <c r="B1" s="1" t="s">
        <v>1</v>
      </c>
      <c r="C1" s="1" t="s">
        <v>36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2" t="s">
        <v>7</v>
      </c>
      <c r="J1" s="2" t="s">
        <v>8</v>
      </c>
      <c r="K1" s="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1" t="s">
        <v>14</v>
      </c>
      <c r="Q1" s="2" t="s">
        <v>15</v>
      </c>
      <c r="R1" s="1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Y1" s="2" t="s">
        <v>23</v>
      </c>
      <c r="Z1" s="1" t="s">
        <v>24</v>
      </c>
      <c r="AA1" s="1" t="s">
        <v>25</v>
      </c>
      <c r="AB1" s="1" t="s">
        <v>26</v>
      </c>
      <c r="AC1" t="s">
        <v>27</v>
      </c>
      <c r="AD1" t="s">
        <v>28</v>
      </c>
      <c r="AE1" s="1" t="s">
        <v>29</v>
      </c>
      <c r="AF1" t="s">
        <v>30</v>
      </c>
      <c r="AG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165</v>
      </c>
      <c r="AM1" t="s">
        <v>37</v>
      </c>
      <c r="AN1" s="2" t="s">
        <v>38</v>
      </c>
      <c r="AO1" t="s">
        <v>39</v>
      </c>
      <c r="AP1" s="2" t="s">
        <v>40</v>
      </c>
      <c r="AQ1" s="1" t="s">
        <v>41</v>
      </c>
      <c r="AR1" s="2" t="s">
        <v>42</v>
      </c>
      <c r="AS1" s="2" t="s">
        <v>167</v>
      </c>
      <c r="AT1" s="2" t="s">
        <v>168</v>
      </c>
      <c r="AU1" s="2" t="s">
        <v>170</v>
      </c>
      <c r="AV1" s="2" t="s">
        <v>169</v>
      </c>
      <c r="AX1" s="1" t="s">
        <v>172</v>
      </c>
      <c r="AY1" s="1" t="s">
        <v>2</v>
      </c>
      <c r="AZ1" s="2" t="s">
        <v>167</v>
      </c>
      <c r="BA1" s="2" t="s">
        <v>168</v>
      </c>
      <c r="BB1" s="2" t="s">
        <v>170</v>
      </c>
      <c r="BC1" s="2" t="s">
        <v>169</v>
      </c>
      <c r="BD1" s="1" t="s">
        <v>173</v>
      </c>
    </row>
    <row r="2" spans="1:56" x14ac:dyDescent="0.25">
      <c r="A2" s="1">
        <v>0</v>
      </c>
      <c r="B2" s="1" t="s">
        <v>43</v>
      </c>
      <c r="C2" s="1">
        <v>3.6677266568551468</v>
      </c>
      <c r="D2" s="1" t="s">
        <v>44</v>
      </c>
      <c r="E2" s="1" t="s">
        <v>45</v>
      </c>
      <c r="F2" s="2">
        <v>47.25806</v>
      </c>
      <c r="G2" s="2">
        <v>-68.595830000000007</v>
      </c>
      <c r="H2" s="1" t="s">
        <v>46</v>
      </c>
      <c r="I2" s="2">
        <v>47.257876549999999</v>
      </c>
      <c r="J2" s="2">
        <v>-68.594918730000003</v>
      </c>
      <c r="K2" s="1" t="s">
        <v>46</v>
      </c>
      <c r="L2" s="2">
        <v>47.257312239999997</v>
      </c>
      <c r="M2" s="2">
        <v>-68.594354420000002</v>
      </c>
      <c r="N2" s="2">
        <v>-999</v>
      </c>
      <c r="O2" s="2">
        <v>-999</v>
      </c>
      <c r="Q2" s="2">
        <v>14691.61894</v>
      </c>
      <c r="R2" s="1" t="s">
        <v>47</v>
      </c>
      <c r="S2" s="2">
        <v>14700</v>
      </c>
      <c r="T2" s="1" t="s">
        <v>48</v>
      </c>
      <c r="V2" s="1" t="s">
        <v>49</v>
      </c>
      <c r="W2" s="1" t="s">
        <v>50</v>
      </c>
      <c r="X2" s="2">
        <v>14677.4</v>
      </c>
      <c r="Y2" s="2">
        <v>0.99379157200000001</v>
      </c>
      <c r="AA2" s="1" t="s">
        <v>51</v>
      </c>
      <c r="AC2" s="5"/>
      <c r="AD2" s="5"/>
      <c r="AE2" s="1">
        <v>-1</v>
      </c>
      <c r="AF2" s="5">
        <v>18264</v>
      </c>
      <c r="AG2" s="5">
        <v>44196</v>
      </c>
      <c r="AH2" s="1">
        <v>0</v>
      </c>
      <c r="AI2" s="1" t="s">
        <v>52</v>
      </c>
      <c r="AJ2" s="1">
        <v>0</v>
      </c>
      <c r="AK2" s="1">
        <v>319</v>
      </c>
      <c r="AL2" s="1">
        <f>100*(AP2-S2)/AP2</f>
        <v>3.6677266568551468</v>
      </c>
      <c r="AM2">
        <v>72040034</v>
      </c>
      <c r="AN2" s="2">
        <v>208.09985459676</v>
      </c>
      <c r="AO2">
        <v>72040029</v>
      </c>
      <c r="AP2" s="2">
        <v>15259.683478700001</v>
      </c>
      <c r="AQ2" s="1">
        <v>1</v>
      </c>
      <c r="AR2" s="2">
        <v>1</v>
      </c>
      <c r="AS2" s="4">
        <v>0.6139</v>
      </c>
      <c r="AT2" s="4">
        <v>0.47510000000000002</v>
      </c>
      <c r="AU2" s="4">
        <v>1.4039999999999999</v>
      </c>
      <c r="AV2" s="4">
        <v>0.60740000000000005</v>
      </c>
      <c r="AX2" s="1">
        <v>3.6677266568551468</v>
      </c>
      <c r="AY2" s="1" t="s">
        <v>44</v>
      </c>
      <c r="AZ2" s="4">
        <v>0.6139</v>
      </c>
      <c r="BA2" s="4">
        <v>0.47510000000000002</v>
      </c>
      <c r="BB2" s="4">
        <v>1.4039999999999999</v>
      </c>
      <c r="BC2" s="4">
        <v>0.60740000000000005</v>
      </c>
      <c r="BD2" s="1">
        <v>3.6677266568551468</v>
      </c>
    </row>
    <row r="3" spans="1:56" x14ac:dyDescent="0.25">
      <c r="A3" s="1">
        <v>223</v>
      </c>
      <c r="B3" s="1" t="s">
        <v>43</v>
      </c>
      <c r="C3" s="1">
        <v>0.71717989712318653</v>
      </c>
      <c r="D3" s="1" t="s">
        <v>53</v>
      </c>
      <c r="E3" s="1" t="s">
        <v>54</v>
      </c>
      <c r="F3" s="2">
        <v>48.686390000000003</v>
      </c>
      <c r="G3" s="2">
        <v>-72.488060000000004</v>
      </c>
      <c r="H3" s="1" t="s">
        <v>46</v>
      </c>
      <c r="I3" s="2">
        <v>48.687029729999999</v>
      </c>
      <c r="J3" s="2">
        <v>-72.487576329999996</v>
      </c>
      <c r="K3" s="1" t="s">
        <v>46</v>
      </c>
      <c r="L3" s="2">
        <v>48.686666670000001</v>
      </c>
      <c r="M3" s="2">
        <v>-72.487576329999996</v>
      </c>
      <c r="N3" s="2">
        <v>-999</v>
      </c>
      <c r="O3" s="2">
        <v>-999</v>
      </c>
      <c r="Q3" s="2">
        <v>15401.59829</v>
      </c>
      <c r="R3" s="1" t="s">
        <v>47</v>
      </c>
      <c r="S3" s="2">
        <v>15300</v>
      </c>
      <c r="T3" s="1" t="s">
        <v>48</v>
      </c>
      <c r="V3" s="1" t="s">
        <v>49</v>
      </c>
      <c r="W3" s="1" t="s">
        <v>50</v>
      </c>
      <c r="X3" s="2">
        <v>15518.5</v>
      </c>
      <c r="Y3" s="2">
        <v>0.98436894699999999</v>
      </c>
      <c r="AA3" s="1" t="s">
        <v>51</v>
      </c>
      <c r="AC3" s="5"/>
      <c r="AD3" s="5"/>
      <c r="AE3" s="1">
        <v>-1</v>
      </c>
      <c r="AF3" s="5">
        <v>19541</v>
      </c>
      <c r="AG3" s="5">
        <v>44834</v>
      </c>
      <c r="AH3" s="1">
        <v>202</v>
      </c>
      <c r="AI3" s="1" t="s">
        <v>55</v>
      </c>
      <c r="AJ3" s="1">
        <v>0</v>
      </c>
      <c r="AK3" s="1">
        <v>343</v>
      </c>
      <c r="AL3" s="1">
        <f t="shared" ref="AL3:AL48" si="0">100*(AP3-S3)/AP3</f>
        <v>0.71717989712318653</v>
      </c>
      <c r="AM3">
        <v>72034439</v>
      </c>
      <c r="AN3" s="2">
        <v>135.005406494364</v>
      </c>
      <c r="AO3">
        <v>72034436</v>
      </c>
      <c r="AP3" s="2">
        <v>15410.521159800001</v>
      </c>
      <c r="AQ3" s="1">
        <v>1</v>
      </c>
      <c r="AR3" s="2">
        <v>1</v>
      </c>
      <c r="AS3" s="4">
        <v>0.72599999999999998</v>
      </c>
      <c r="AT3" s="4">
        <v>0.43</v>
      </c>
      <c r="AU3" s="4">
        <v>-1.5489999999999999</v>
      </c>
      <c r="AV3" s="4">
        <v>0.7218</v>
      </c>
      <c r="AX3" s="1">
        <v>0.71717989712318653</v>
      </c>
      <c r="AY3" s="1" t="s">
        <v>53</v>
      </c>
      <c r="AZ3" s="4">
        <v>0.72599999999999998</v>
      </c>
      <c r="BA3" s="4">
        <v>0.43</v>
      </c>
      <c r="BB3" s="4">
        <v>-1.5489999999999999</v>
      </c>
      <c r="BC3" s="4">
        <v>0.7218</v>
      </c>
      <c r="BD3" s="1">
        <v>0.71717989712318653</v>
      </c>
    </row>
    <row r="4" spans="1:56" x14ac:dyDescent="0.25">
      <c r="A4" s="1">
        <v>230</v>
      </c>
      <c r="B4" s="1" t="s">
        <v>43</v>
      </c>
      <c r="C4" s="1">
        <v>0.74746023500836223</v>
      </c>
      <c r="D4" s="1" t="s">
        <v>56</v>
      </c>
      <c r="E4" s="1" t="s">
        <v>57</v>
      </c>
      <c r="F4" s="2">
        <v>50.350279999999998</v>
      </c>
      <c r="G4" s="2">
        <v>-66.190280000000001</v>
      </c>
      <c r="H4" s="1" t="s">
        <v>46</v>
      </c>
      <c r="I4" s="2">
        <v>50.350374539999997</v>
      </c>
      <c r="J4" s="2">
        <v>-66.190418129999998</v>
      </c>
      <c r="K4" s="1" t="s">
        <v>46</v>
      </c>
      <c r="L4" s="2">
        <v>50.350394870000002</v>
      </c>
      <c r="M4" s="2">
        <v>-66.190438459999996</v>
      </c>
      <c r="N4" s="2">
        <v>-999</v>
      </c>
      <c r="O4" s="2">
        <v>-999</v>
      </c>
      <c r="Q4" s="2">
        <v>19015.090209999998</v>
      </c>
      <c r="R4" s="1" t="s">
        <v>47</v>
      </c>
      <c r="S4" s="2">
        <v>19000</v>
      </c>
      <c r="T4" s="1" t="s">
        <v>48</v>
      </c>
      <c r="V4" s="1" t="s">
        <v>49</v>
      </c>
      <c r="W4" s="1" t="s">
        <v>50</v>
      </c>
      <c r="X4" s="2">
        <v>19060.2</v>
      </c>
      <c r="Y4" s="2">
        <v>0.99005771200000003</v>
      </c>
      <c r="AA4" s="1" t="s">
        <v>51</v>
      </c>
      <c r="AC4" s="5"/>
      <c r="AD4" s="5"/>
      <c r="AE4" s="1">
        <v>-1</v>
      </c>
      <c r="AF4" s="5">
        <v>23894</v>
      </c>
      <c r="AG4" s="5">
        <v>44834</v>
      </c>
      <c r="AH4" s="1">
        <v>303</v>
      </c>
      <c r="AI4" s="1" t="s">
        <v>55</v>
      </c>
      <c r="AJ4" s="1">
        <v>0</v>
      </c>
      <c r="AK4" s="1">
        <v>401</v>
      </c>
      <c r="AL4" s="1">
        <f t="shared" si="0"/>
        <v>-0.11823666557122683</v>
      </c>
      <c r="AM4">
        <v>72025378</v>
      </c>
      <c r="AN4" s="2">
        <v>146.45504</v>
      </c>
      <c r="AO4">
        <v>72025369</v>
      </c>
      <c r="AP4" s="2">
        <v>18977.561564</v>
      </c>
      <c r="AQ4" s="1">
        <v>1</v>
      </c>
      <c r="AR4" s="2">
        <v>1</v>
      </c>
      <c r="AS4" s="4">
        <v>0.46379999999999999</v>
      </c>
      <c r="AT4" s="4">
        <v>-0.193</v>
      </c>
      <c r="AU4" s="4">
        <v>4.5830000000000002</v>
      </c>
      <c r="AV4" s="4">
        <v>0.50360000000000005</v>
      </c>
      <c r="AX4" s="1">
        <v>0.74746023500836223</v>
      </c>
      <c r="AY4" s="1" t="s">
        <v>56</v>
      </c>
      <c r="AZ4" s="4">
        <v>0.46379999999999999</v>
      </c>
      <c r="BA4" s="4">
        <v>-0.193</v>
      </c>
      <c r="BB4" s="4">
        <v>4.5830000000000002</v>
      </c>
      <c r="BC4" s="4">
        <v>0.50360000000000005</v>
      </c>
      <c r="BD4" s="1">
        <v>-0.11823666557122683</v>
      </c>
    </row>
    <row r="5" spans="1:56" x14ac:dyDescent="0.25">
      <c r="A5" s="1">
        <v>232</v>
      </c>
      <c r="B5" s="1" t="s">
        <v>43</v>
      </c>
      <c r="C5" s="1">
        <v>-1.7687077435587182</v>
      </c>
      <c r="D5" s="1" t="s">
        <v>58</v>
      </c>
      <c r="E5" s="1" t="s">
        <v>59</v>
      </c>
      <c r="F5" s="2">
        <v>50.427219999999998</v>
      </c>
      <c r="G5" s="2">
        <v>-61.713610000000003</v>
      </c>
      <c r="H5" s="1" t="s">
        <v>46</v>
      </c>
      <c r="I5" s="2">
        <v>50.425121390000001</v>
      </c>
      <c r="J5" s="2">
        <v>-61.714624370000003</v>
      </c>
      <c r="K5" s="1" t="s">
        <v>46</v>
      </c>
      <c r="L5" s="2">
        <v>50.425706210000001</v>
      </c>
      <c r="M5" s="2">
        <v>-61.714039550000003</v>
      </c>
      <c r="N5" s="2">
        <v>-999</v>
      </c>
      <c r="O5" s="2">
        <v>-999</v>
      </c>
      <c r="Q5" s="2">
        <v>15328.66289</v>
      </c>
      <c r="R5" s="1" t="s">
        <v>47</v>
      </c>
      <c r="S5" s="2">
        <v>15600</v>
      </c>
      <c r="T5" s="1" t="s">
        <v>48</v>
      </c>
      <c r="V5" s="1" t="s">
        <v>49</v>
      </c>
      <c r="W5" s="1" t="s">
        <v>50</v>
      </c>
      <c r="X5" s="2">
        <v>15434.6</v>
      </c>
      <c r="Y5" s="2">
        <v>0.98781569800000002</v>
      </c>
      <c r="AA5" s="1" t="s">
        <v>51</v>
      </c>
      <c r="AC5" s="5"/>
      <c r="AD5" s="5"/>
      <c r="AE5" s="1">
        <v>-1</v>
      </c>
      <c r="AF5" s="5">
        <v>29373</v>
      </c>
      <c r="AG5" s="5">
        <v>44834</v>
      </c>
      <c r="AH5" s="1">
        <v>366</v>
      </c>
      <c r="AI5" s="1" t="s">
        <v>52</v>
      </c>
      <c r="AJ5" s="1">
        <v>0</v>
      </c>
      <c r="AK5" s="1">
        <v>307</v>
      </c>
      <c r="AL5" s="1">
        <f t="shared" si="0"/>
        <v>-1.7687077435587182</v>
      </c>
      <c r="AM5">
        <v>72025624</v>
      </c>
      <c r="AN5" s="2">
        <v>116.77202671668999</v>
      </c>
      <c r="AO5">
        <v>72025618</v>
      </c>
      <c r="AP5" s="2">
        <v>15328.876966100001</v>
      </c>
      <c r="AQ5" s="1">
        <v>1</v>
      </c>
      <c r="AR5" s="2">
        <v>1</v>
      </c>
      <c r="AS5" s="4">
        <v>0.57530000000000003</v>
      </c>
      <c r="AT5" s="4">
        <v>0.15390000000000001</v>
      </c>
      <c r="AU5" s="4">
        <v>-13.85</v>
      </c>
      <c r="AV5" s="4">
        <v>0.42259999999999998</v>
      </c>
      <c r="AX5" s="1">
        <v>-1.7687077435587182</v>
      </c>
      <c r="AY5" s="1" t="s">
        <v>58</v>
      </c>
      <c r="AZ5" s="4">
        <v>0.57530000000000003</v>
      </c>
      <c r="BA5" s="4">
        <v>0.15390000000000001</v>
      </c>
      <c r="BB5" s="4">
        <v>-13.85</v>
      </c>
      <c r="BC5" s="4">
        <v>0.42259999999999998</v>
      </c>
      <c r="BD5" s="1">
        <v>-1.7687077435587182</v>
      </c>
    </row>
    <row r="6" spans="1:56" x14ac:dyDescent="0.25">
      <c r="A6" s="1">
        <v>292</v>
      </c>
      <c r="B6" s="1" t="s">
        <v>43</v>
      </c>
      <c r="C6" s="1">
        <v>0.67526311922959659</v>
      </c>
      <c r="D6" s="1" t="s">
        <v>60</v>
      </c>
      <c r="E6" s="1" t="s">
        <v>61</v>
      </c>
      <c r="F6" s="2">
        <v>57.68694</v>
      </c>
      <c r="G6" s="2">
        <v>-69.590829999999997</v>
      </c>
      <c r="H6" s="1" t="s">
        <v>46</v>
      </c>
      <c r="I6" s="2">
        <v>57.686659229999997</v>
      </c>
      <c r="J6" s="2">
        <v>-69.590524349999995</v>
      </c>
      <c r="K6" s="1" t="s">
        <v>46</v>
      </c>
      <c r="L6" s="2">
        <v>57.686400769999999</v>
      </c>
      <c r="M6" s="2">
        <v>-69.590265889999998</v>
      </c>
      <c r="N6" s="2">
        <v>-999</v>
      </c>
      <c r="O6" s="2">
        <v>-999</v>
      </c>
      <c r="Q6" s="2">
        <v>40634.13809</v>
      </c>
      <c r="R6" s="1" t="s">
        <v>47</v>
      </c>
      <c r="S6" s="2">
        <v>40400</v>
      </c>
      <c r="T6" s="1" t="s">
        <v>48</v>
      </c>
      <c r="V6" s="1" t="s">
        <v>49</v>
      </c>
      <c r="W6" s="1" t="s">
        <v>50</v>
      </c>
      <c r="X6" s="2">
        <v>41151.800000000003</v>
      </c>
      <c r="Y6" s="2">
        <v>0.98125421000000002</v>
      </c>
      <c r="AA6" s="1" t="s">
        <v>51</v>
      </c>
      <c r="AC6" s="5"/>
      <c r="AD6" s="5"/>
      <c r="AE6" s="1">
        <v>-1</v>
      </c>
      <c r="AF6" s="5">
        <v>22859</v>
      </c>
      <c r="AG6" s="5">
        <v>43738</v>
      </c>
      <c r="AH6" s="1">
        <v>352</v>
      </c>
      <c r="AI6" s="1" t="s">
        <v>55</v>
      </c>
      <c r="AJ6" s="1">
        <v>0</v>
      </c>
      <c r="AK6" s="1">
        <v>895</v>
      </c>
      <c r="AL6" s="1">
        <f t="shared" si="0"/>
        <v>0.67526311922959659</v>
      </c>
      <c r="AM6">
        <v>72003723</v>
      </c>
      <c r="AN6" s="2">
        <v>122.09768859151499</v>
      </c>
      <c r="AO6">
        <v>72003625</v>
      </c>
      <c r="AP6" s="2">
        <v>40674.660984499998</v>
      </c>
      <c r="AQ6" s="1">
        <v>1</v>
      </c>
      <c r="AR6" s="2">
        <v>1</v>
      </c>
      <c r="AS6" s="4">
        <v>0.4214</v>
      </c>
      <c r="AT6" s="4">
        <v>-0.35339999999999999</v>
      </c>
      <c r="AU6" s="4">
        <v>9.4209999999999994</v>
      </c>
      <c r="AV6" s="4">
        <v>0.47799999999999998</v>
      </c>
      <c r="AX6" s="1">
        <v>0.67526311922959659</v>
      </c>
      <c r="AY6" s="1" t="s">
        <v>60</v>
      </c>
      <c r="AZ6" s="4">
        <v>0.4214</v>
      </c>
      <c r="BA6" s="4">
        <v>-0.35339999999999999</v>
      </c>
      <c r="BB6" s="4">
        <v>9.4209999999999994</v>
      </c>
      <c r="BC6" s="4">
        <v>0.47799999999999998</v>
      </c>
      <c r="BD6" s="1">
        <v>0.67526311922959659</v>
      </c>
    </row>
    <row r="7" spans="1:56" x14ac:dyDescent="0.25">
      <c r="A7" s="1">
        <v>293</v>
      </c>
      <c r="B7" s="1" t="s">
        <v>43</v>
      </c>
      <c r="C7" s="1">
        <v>0</v>
      </c>
      <c r="D7" s="1" t="s">
        <v>62</v>
      </c>
      <c r="E7" s="1" t="s">
        <v>63</v>
      </c>
      <c r="F7" s="2">
        <v>57.883330000000001</v>
      </c>
      <c r="G7" s="2">
        <v>-67.583330000000004</v>
      </c>
      <c r="H7" s="1" t="s">
        <v>46</v>
      </c>
      <c r="I7" s="2">
        <v>57.876385900000002</v>
      </c>
      <c r="J7" s="2">
        <v>-67.59053815</v>
      </c>
      <c r="K7" s="1" t="s">
        <v>46</v>
      </c>
      <c r="L7" s="2">
        <v>57.877499999999998</v>
      </c>
      <c r="M7" s="2">
        <v>-67.59</v>
      </c>
      <c r="N7" s="2">
        <v>-999</v>
      </c>
      <c r="O7" s="2">
        <v>-999</v>
      </c>
      <c r="Q7" s="2">
        <v>29860.35297</v>
      </c>
      <c r="R7" s="1" t="s">
        <v>47</v>
      </c>
      <c r="S7" s="2">
        <v>29800</v>
      </c>
      <c r="T7" s="1" t="s">
        <v>48</v>
      </c>
      <c r="V7" s="1" t="s">
        <v>49</v>
      </c>
      <c r="W7" s="1" t="s">
        <v>50</v>
      </c>
      <c r="X7" s="2">
        <v>29691.9</v>
      </c>
      <c r="Y7" s="2">
        <v>0.98694296800000003</v>
      </c>
      <c r="AA7" s="1" t="s">
        <v>51</v>
      </c>
      <c r="AC7" s="5"/>
      <c r="AD7" s="5"/>
      <c r="AE7" s="1">
        <v>-1</v>
      </c>
      <c r="AF7" s="5">
        <v>20515</v>
      </c>
      <c r="AG7" s="5">
        <v>44834</v>
      </c>
      <c r="AH7" s="1">
        <v>785</v>
      </c>
      <c r="AI7" s="1" t="s">
        <v>55</v>
      </c>
      <c r="AJ7" s="1">
        <v>0</v>
      </c>
      <c r="AK7" s="1">
        <v>690</v>
      </c>
      <c r="AL7" s="1">
        <f t="shared" si="0"/>
        <v>-0.21477079317526768</v>
      </c>
      <c r="AM7">
        <v>72003772</v>
      </c>
      <c r="AN7" s="2">
        <v>171.723861</v>
      </c>
      <c r="AO7">
        <v>72003767</v>
      </c>
      <c r="AP7" s="2">
        <v>29736.135466</v>
      </c>
      <c r="AQ7" s="1">
        <v>1</v>
      </c>
      <c r="AR7" s="2">
        <v>1</v>
      </c>
      <c r="AS7" s="4">
        <v>0.53910000000000002</v>
      </c>
      <c r="AT7" s="4">
        <v>9.0200000000000002E-3</v>
      </c>
      <c r="AU7" s="4">
        <v>5.8449999999999998</v>
      </c>
      <c r="AV7" s="4">
        <v>0.58179999999999998</v>
      </c>
      <c r="AX7" s="1">
        <v>0</v>
      </c>
      <c r="AY7" s="1" t="s">
        <v>62</v>
      </c>
      <c r="AZ7" s="4">
        <v>0.53910000000000002</v>
      </c>
      <c r="BA7" s="4">
        <v>9.0200000000000002E-3</v>
      </c>
      <c r="BB7" s="4">
        <v>5.8449999999999998</v>
      </c>
      <c r="BC7" s="4">
        <v>0.58179999999999998</v>
      </c>
      <c r="BD7" s="1">
        <v>-0.21477079317526768</v>
      </c>
    </row>
    <row r="8" spans="1:56" x14ac:dyDescent="0.25">
      <c r="A8" s="1">
        <v>294</v>
      </c>
      <c r="B8" s="1" t="s">
        <v>43</v>
      </c>
      <c r="C8" s="1">
        <v>6.0820907704993195</v>
      </c>
      <c r="D8" s="1" t="s">
        <v>64</v>
      </c>
      <c r="E8" s="1" t="s">
        <v>65</v>
      </c>
      <c r="F8" s="2">
        <v>56.783059999999999</v>
      </c>
      <c r="G8" s="2">
        <v>-64.86806</v>
      </c>
      <c r="H8" s="1" t="s">
        <v>46</v>
      </c>
      <c r="I8" s="2">
        <v>56.785997080000001</v>
      </c>
      <c r="J8" s="2">
        <v>-64.866406650000002</v>
      </c>
      <c r="K8" s="1" t="s">
        <v>46</v>
      </c>
      <c r="L8" s="2">
        <v>56.785833330000003</v>
      </c>
      <c r="M8" s="2">
        <v>-64.866406650000002</v>
      </c>
      <c r="N8" s="2">
        <v>-999</v>
      </c>
      <c r="O8" s="2">
        <v>-999</v>
      </c>
      <c r="Q8" s="2">
        <v>23124.671849999999</v>
      </c>
      <c r="R8" s="1" t="s">
        <v>47</v>
      </c>
      <c r="S8" s="2">
        <v>22755</v>
      </c>
      <c r="T8" s="1" t="s">
        <v>48</v>
      </c>
      <c r="V8" s="1" t="s">
        <v>49</v>
      </c>
      <c r="W8" s="1" t="s">
        <v>50</v>
      </c>
      <c r="X8" s="2">
        <v>23020.3</v>
      </c>
      <c r="Y8" s="2">
        <v>0.98590874799999995</v>
      </c>
      <c r="AA8" s="1" t="s">
        <v>51</v>
      </c>
      <c r="AC8" s="5"/>
      <c r="AD8" s="5"/>
      <c r="AE8" s="1">
        <v>-1</v>
      </c>
      <c r="AF8" s="5">
        <v>27546</v>
      </c>
      <c r="AG8" s="5">
        <v>44834</v>
      </c>
      <c r="AH8" s="1">
        <v>378</v>
      </c>
      <c r="AI8" s="1" t="s">
        <v>55</v>
      </c>
      <c r="AJ8" s="1">
        <v>0</v>
      </c>
      <c r="AK8" s="1">
        <v>547</v>
      </c>
      <c r="AL8" s="1">
        <f t="shared" si="0"/>
        <v>-1.1417030250276226</v>
      </c>
      <c r="AM8">
        <v>72006081</v>
      </c>
      <c r="AN8" s="2">
        <v>136.640196</v>
      </c>
      <c r="AO8">
        <v>72006078</v>
      </c>
      <c r="AP8" s="2">
        <v>22498.138077</v>
      </c>
      <c r="AQ8" s="1">
        <v>1</v>
      </c>
      <c r="AR8" s="2">
        <v>1</v>
      </c>
      <c r="AS8" s="4">
        <v>0.58760000000000001</v>
      </c>
      <c r="AT8" s="4">
        <v>0.15609999999999999</v>
      </c>
      <c r="AU8" s="4">
        <v>-11.34</v>
      </c>
      <c r="AV8" s="4">
        <v>0.47610000000000002</v>
      </c>
      <c r="AX8" s="1">
        <v>6.0820907704993195</v>
      </c>
      <c r="AY8" s="1" t="s">
        <v>64</v>
      </c>
      <c r="AZ8" s="4">
        <v>0.58760000000000001</v>
      </c>
      <c r="BA8" s="4">
        <v>0.15609999999999999</v>
      </c>
      <c r="BB8" s="4">
        <v>-11.34</v>
      </c>
      <c r="BC8" s="4">
        <v>0.47610000000000002</v>
      </c>
      <c r="BD8" s="1">
        <v>-1.1417030250276226</v>
      </c>
    </row>
    <row r="9" spans="1:56" x14ac:dyDescent="0.25">
      <c r="A9" s="1">
        <v>296</v>
      </c>
      <c r="B9" s="1" t="s">
        <v>43</v>
      </c>
      <c r="C9" s="6">
        <v>5.7055995520202325</v>
      </c>
      <c r="D9" s="6" t="s">
        <v>66</v>
      </c>
      <c r="E9" s="1" t="s">
        <v>67</v>
      </c>
      <c r="F9" s="2">
        <v>52.968440000000001</v>
      </c>
      <c r="G9" s="2">
        <v>-64.661609999999996</v>
      </c>
      <c r="H9" s="1" t="s">
        <v>46</v>
      </c>
      <c r="I9" s="2">
        <v>52.967990800000003</v>
      </c>
      <c r="J9" s="2">
        <v>-64.66396134</v>
      </c>
      <c r="K9" s="1" t="s">
        <v>46</v>
      </c>
      <c r="L9" s="2">
        <v>52.967990800000003</v>
      </c>
      <c r="M9" s="2">
        <v>-64.66416667</v>
      </c>
      <c r="N9" s="2">
        <v>-999</v>
      </c>
      <c r="O9" s="2">
        <v>-999</v>
      </c>
      <c r="Q9" s="2">
        <v>15852.579400000001</v>
      </c>
      <c r="R9" s="1" t="s">
        <v>47</v>
      </c>
      <c r="S9" s="2">
        <v>15100</v>
      </c>
      <c r="T9" s="1" t="s">
        <v>48</v>
      </c>
      <c r="V9" s="1" t="s">
        <v>49</v>
      </c>
      <c r="W9" s="1" t="s">
        <v>50</v>
      </c>
      <c r="X9" s="2">
        <v>15811</v>
      </c>
      <c r="Y9" s="2">
        <v>0.98288309299999999</v>
      </c>
      <c r="AA9" s="1" t="s">
        <v>51</v>
      </c>
      <c r="AC9" s="5"/>
      <c r="AD9" s="5"/>
      <c r="AE9" s="1">
        <v>-1</v>
      </c>
      <c r="AF9" s="5">
        <v>26604</v>
      </c>
      <c r="AG9" s="5">
        <v>44561</v>
      </c>
      <c r="AH9" s="1">
        <v>147</v>
      </c>
      <c r="AI9" s="1" t="s">
        <v>68</v>
      </c>
      <c r="AJ9" s="1">
        <v>0</v>
      </c>
      <c r="AK9" s="1">
        <v>343</v>
      </c>
      <c r="AL9" s="1">
        <f t="shared" si="0"/>
        <v>4.2266298729015404</v>
      </c>
      <c r="AM9">
        <v>72016463</v>
      </c>
      <c r="AN9" s="2">
        <v>104.22432499999999</v>
      </c>
      <c r="AO9">
        <v>72016456</v>
      </c>
      <c r="AP9" s="2">
        <v>15766.386815</v>
      </c>
      <c r="AQ9" s="1">
        <v>1</v>
      </c>
      <c r="AR9" s="2">
        <v>1</v>
      </c>
      <c r="AS9" s="4">
        <v>6.8430000000000005E-2</v>
      </c>
      <c r="AT9" s="4">
        <v>-0.69920000000000004</v>
      </c>
      <c r="AU9" s="4">
        <v>4.5369999999999999</v>
      </c>
      <c r="AV9" s="4">
        <v>0.1479</v>
      </c>
      <c r="AX9" s="1">
        <v>5.7055995520202325</v>
      </c>
      <c r="AY9" s="3" t="s">
        <v>66</v>
      </c>
      <c r="AZ9" s="4">
        <v>6.8430000000000005E-2</v>
      </c>
      <c r="BA9" s="4">
        <v>-0.69920000000000004</v>
      </c>
      <c r="BB9" s="4">
        <v>4.5369999999999999</v>
      </c>
      <c r="BC9" s="4">
        <v>0.1479</v>
      </c>
      <c r="BD9" s="1">
        <v>4.2266298729015404</v>
      </c>
    </row>
    <row r="10" spans="1:56" x14ac:dyDescent="0.25">
      <c r="A10" s="1">
        <v>298</v>
      </c>
      <c r="B10" s="1" t="s">
        <v>43</v>
      </c>
      <c r="C10" s="1">
        <v>1.5711778787863717</v>
      </c>
      <c r="D10" s="1" t="s">
        <v>69</v>
      </c>
      <c r="E10" s="1" t="s">
        <v>70</v>
      </c>
      <c r="F10" s="2">
        <v>53.534280000000003</v>
      </c>
      <c r="G10" s="2">
        <v>-57.493859999999998</v>
      </c>
      <c r="H10" s="1" t="s">
        <v>46</v>
      </c>
      <c r="I10" s="2">
        <v>53.533009280000002</v>
      </c>
      <c r="J10" s="2">
        <v>-57.492068209999999</v>
      </c>
      <c r="K10" s="1" t="s">
        <v>46</v>
      </c>
      <c r="L10" s="2">
        <v>53.53297053</v>
      </c>
      <c r="M10" s="2">
        <v>-57.492029469999999</v>
      </c>
      <c r="N10" s="2">
        <v>-999</v>
      </c>
      <c r="O10" s="2">
        <v>-999</v>
      </c>
      <c r="Q10" s="2">
        <v>11047.58223</v>
      </c>
      <c r="R10" s="1" t="s">
        <v>47</v>
      </c>
      <c r="S10" s="2">
        <v>10900</v>
      </c>
      <c r="T10" s="1" t="s">
        <v>48</v>
      </c>
      <c r="V10" s="1" t="s">
        <v>49</v>
      </c>
      <c r="W10" s="1" t="s">
        <v>50</v>
      </c>
      <c r="X10" s="2">
        <v>10804.9</v>
      </c>
      <c r="Y10" s="2">
        <v>0.96932340299999997</v>
      </c>
      <c r="AA10" s="1" t="s">
        <v>51</v>
      </c>
      <c r="AC10" s="5">
        <v>44521</v>
      </c>
      <c r="AD10" s="5">
        <v>44928</v>
      </c>
      <c r="AE10" s="1">
        <v>6</v>
      </c>
      <c r="AF10" s="5">
        <v>24381</v>
      </c>
      <c r="AG10" s="5">
        <v>44561</v>
      </c>
      <c r="AH10" s="1">
        <v>167</v>
      </c>
      <c r="AI10" s="1" t="s">
        <v>68</v>
      </c>
      <c r="AJ10" s="1">
        <v>0</v>
      </c>
      <c r="AK10" s="1">
        <v>253</v>
      </c>
      <c r="AL10" s="1">
        <f>100*(AP10-S10)/AP10</f>
        <v>0.61483478135731884</v>
      </c>
      <c r="AM10">
        <v>72016724</v>
      </c>
      <c r="AN10" s="2">
        <v>226.30642599999999</v>
      </c>
      <c r="AO10">
        <v>72016722</v>
      </c>
      <c r="AP10" s="2">
        <v>10967.431584</v>
      </c>
      <c r="AQ10" s="1">
        <v>1</v>
      </c>
      <c r="AR10" s="2">
        <v>1</v>
      </c>
      <c r="AS10" s="4">
        <v>0.64049999999999996</v>
      </c>
      <c r="AT10" s="4">
        <v>0.22889999999999999</v>
      </c>
      <c r="AU10" s="4">
        <v>-2.3420000000000001</v>
      </c>
      <c r="AV10" s="4">
        <v>0.63119999999999998</v>
      </c>
      <c r="AX10" s="1">
        <v>1.5711778787863717</v>
      </c>
      <c r="AY10" s="1" t="s">
        <v>69</v>
      </c>
      <c r="AZ10" s="4">
        <v>0.64049999999999996</v>
      </c>
      <c r="BA10" s="4">
        <v>0.22889999999999999</v>
      </c>
      <c r="BB10" s="4">
        <v>-2.3420000000000001</v>
      </c>
      <c r="BC10" s="4">
        <v>0.63119999999999998</v>
      </c>
      <c r="BD10" s="1">
        <v>0.61483478135731884</v>
      </c>
    </row>
    <row r="11" spans="1:56" x14ac:dyDescent="0.25">
      <c r="A11" s="1">
        <v>302</v>
      </c>
      <c r="B11" s="1" t="s">
        <v>43</v>
      </c>
      <c r="C11" s="1">
        <v>2.0586894576293271</v>
      </c>
      <c r="D11" s="1" t="s">
        <v>71</v>
      </c>
      <c r="E11" s="1" t="s">
        <v>72</v>
      </c>
      <c r="F11" s="2">
        <v>55.850360000000002</v>
      </c>
      <c r="G11" s="2">
        <v>-92.094859999999997</v>
      </c>
      <c r="H11" s="1" t="s">
        <v>46</v>
      </c>
      <c r="I11" s="2">
        <v>55.853328339999997</v>
      </c>
      <c r="J11" s="2">
        <v>-92.095756260000002</v>
      </c>
      <c r="K11" s="1" t="s">
        <v>46</v>
      </c>
      <c r="L11" s="2">
        <v>55.853333329999998</v>
      </c>
      <c r="M11" s="2">
        <v>-92.095756260000002</v>
      </c>
      <c r="N11" s="2">
        <v>-999</v>
      </c>
      <c r="O11" s="2">
        <v>-999</v>
      </c>
      <c r="Q11" s="2">
        <v>66277.916150000005</v>
      </c>
      <c r="R11" s="1" t="s">
        <v>47</v>
      </c>
      <c r="S11" s="2">
        <v>65000</v>
      </c>
      <c r="T11" s="1" t="s">
        <v>48</v>
      </c>
      <c r="V11" s="1" t="s">
        <v>49</v>
      </c>
      <c r="W11" s="1" t="s">
        <v>50</v>
      </c>
      <c r="X11" s="2">
        <v>66230.5</v>
      </c>
      <c r="Y11" s="2">
        <v>0.99136862000000003</v>
      </c>
      <c r="AA11" s="1" t="s">
        <v>51</v>
      </c>
      <c r="AC11" s="5">
        <v>44521</v>
      </c>
      <c r="AD11" s="5">
        <v>44928</v>
      </c>
      <c r="AE11" s="1">
        <v>231</v>
      </c>
      <c r="AF11" s="5">
        <v>24990</v>
      </c>
      <c r="AG11" s="5">
        <v>44561</v>
      </c>
      <c r="AH11" s="1">
        <v>1152</v>
      </c>
      <c r="AI11" s="1" t="s">
        <v>73</v>
      </c>
      <c r="AJ11" s="1">
        <v>0</v>
      </c>
      <c r="AK11" s="1">
        <v>1437</v>
      </c>
      <c r="AL11" s="1">
        <f t="shared" si="0"/>
        <v>2.0586894576293271</v>
      </c>
      <c r="AM11">
        <v>71007626</v>
      </c>
      <c r="AN11" s="2">
        <v>224.69121862087201</v>
      </c>
      <c r="AO11">
        <v>71007625</v>
      </c>
      <c r="AP11" s="2">
        <v>66366.275517500006</v>
      </c>
      <c r="AQ11" s="1">
        <v>1</v>
      </c>
      <c r="AR11" s="2">
        <v>1</v>
      </c>
      <c r="AS11" s="4">
        <v>-0.49980000000000002</v>
      </c>
      <c r="AT11" s="4">
        <v>-3.339</v>
      </c>
      <c r="AU11" s="4">
        <v>-21.76</v>
      </c>
      <c r="AV11" s="4">
        <v>-1.1399999999999999</v>
      </c>
      <c r="AX11" s="1">
        <v>2.0586894576293271</v>
      </c>
      <c r="AY11" s="3" t="s">
        <v>71</v>
      </c>
      <c r="AZ11" s="4">
        <v>-0.49980000000000002</v>
      </c>
      <c r="BA11" s="4">
        <v>-3.339</v>
      </c>
      <c r="BB11" s="4">
        <v>-21.76</v>
      </c>
      <c r="BC11" s="4">
        <v>-1.1399999999999999</v>
      </c>
      <c r="BD11" s="1">
        <v>2.0586894576293271</v>
      </c>
    </row>
    <row r="12" spans="1:56" x14ac:dyDescent="0.25">
      <c r="A12" s="1">
        <v>310</v>
      </c>
      <c r="B12" s="1" t="s">
        <v>43</v>
      </c>
      <c r="C12" s="1" t="s">
        <v>164</v>
      </c>
      <c r="D12" s="1" t="s">
        <v>74</v>
      </c>
      <c r="E12" s="1" t="s">
        <v>75</v>
      </c>
      <c r="F12" s="2">
        <v>53.806109999999997</v>
      </c>
      <c r="G12" s="2">
        <v>-84.918080000000003</v>
      </c>
      <c r="H12" s="1" t="s">
        <v>46</v>
      </c>
      <c r="I12" s="2">
        <v>53.806995749999999</v>
      </c>
      <c r="J12" s="2">
        <v>-84.918287849999999</v>
      </c>
      <c r="K12" s="1" t="s">
        <v>46</v>
      </c>
      <c r="L12" s="2">
        <v>53.806853949999997</v>
      </c>
      <c r="M12" s="2">
        <v>-84.918146050000004</v>
      </c>
      <c r="N12" s="2">
        <v>-999</v>
      </c>
      <c r="O12" s="2">
        <v>-999</v>
      </c>
      <c r="Q12" s="2">
        <v>8405.6965980000004</v>
      </c>
      <c r="R12" s="1" t="s">
        <v>47</v>
      </c>
      <c r="S12" s="2">
        <v>10400</v>
      </c>
      <c r="T12" s="1" t="s">
        <v>48</v>
      </c>
      <c r="V12" s="1" t="s">
        <v>49</v>
      </c>
      <c r="W12" s="1" t="s">
        <v>50</v>
      </c>
      <c r="X12" s="2">
        <v>10158.4</v>
      </c>
      <c r="Y12" s="2">
        <v>0.80588030200000005</v>
      </c>
      <c r="AA12" s="1" t="s">
        <v>76</v>
      </c>
      <c r="AB12" s="1" t="s">
        <v>77</v>
      </c>
      <c r="AC12" s="5">
        <v>44521</v>
      </c>
      <c r="AD12" s="5">
        <v>44928</v>
      </c>
      <c r="AE12" s="1">
        <v>0</v>
      </c>
      <c r="AF12" s="5">
        <v>24807</v>
      </c>
      <c r="AG12" s="5">
        <v>44561</v>
      </c>
      <c r="AH12" s="1">
        <v>186</v>
      </c>
      <c r="AI12" s="1" t="s">
        <v>55</v>
      </c>
      <c r="AJ12" s="1">
        <v>0</v>
      </c>
      <c r="AK12" s="1">
        <v>193</v>
      </c>
      <c r="AL12" s="1">
        <f t="shared" si="0"/>
        <v>-21.875867494238658</v>
      </c>
      <c r="AM12">
        <v>71016787</v>
      </c>
      <c r="AN12" s="2">
        <v>177.149460128626</v>
      </c>
      <c r="AO12">
        <v>71016775</v>
      </c>
      <c r="AP12" s="2">
        <v>8533.2725943400001</v>
      </c>
      <c r="AQ12" s="1">
        <v>1</v>
      </c>
      <c r="AR12" s="2">
        <v>1</v>
      </c>
      <c r="AS12" s="4">
        <v>0.18759999999999999</v>
      </c>
      <c r="AT12" s="4">
        <v>-0.85319999999999996</v>
      </c>
      <c r="AU12" s="4">
        <v>-40.92</v>
      </c>
      <c r="AV12" s="4">
        <v>-0.56799999999999995</v>
      </c>
      <c r="AX12" s="1" t="s">
        <v>164</v>
      </c>
      <c r="AY12" s="1" t="s">
        <v>74</v>
      </c>
      <c r="AZ12" s="4">
        <v>0.18759999999999999</v>
      </c>
      <c r="BA12" s="4">
        <v>-0.85319999999999996</v>
      </c>
      <c r="BB12" s="4">
        <v>-40.92</v>
      </c>
      <c r="BC12" s="4">
        <v>-0.56799999999999995</v>
      </c>
      <c r="BD12" s="1">
        <v>-21.875867494238658</v>
      </c>
    </row>
    <row r="13" spans="1:56" x14ac:dyDescent="0.25">
      <c r="A13" s="1">
        <v>314</v>
      </c>
      <c r="B13" s="1" t="s">
        <v>43</v>
      </c>
      <c r="C13" s="1">
        <v>4.749284889833624</v>
      </c>
      <c r="D13" s="1" t="s">
        <v>78</v>
      </c>
      <c r="E13" s="1" t="s">
        <v>79</v>
      </c>
      <c r="F13" s="2">
        <v>53.09131</v>
      </c>
      <c r="G13" s="2">
        <v>-85.072249999999997</v>
      </c>
      <c r="H13" s="1" t="s">
        <v>46</v>
      </c>
      <c r="I13" s="2">
        <v>53.088982520000002</v>
      </c>
      <c r="J13" s="2">
        <v>-85.071593739999997</v>
      </c>
      <c r="K13" s="1" t="s">
        <v>46</v>
      </c>
      <c r="L13" s="2">
        <v>53.089166669999997</v>
      </c>
      <c r="M13" s="2">
        <v>-85.071593739999997</v>
      </c>
      <c r="N13" s="2">
        <v>-999</v>
      </c>
      <c r="O13" s="2">
        <v>-999</v>
      </c>
      <c r="Q13" s="2">
        <v>37794.147929999999</v>
      </c>
      <c r="R13" s="1" t="s">
        <v>47</v>
      </c>
      <c r="S13" s="2">
        <v>36000</v>
      </c>
      <c r="T13" s="1" t="s">
        <v>48</v>
      </c>
      <c r="V13" s="1" t="s">
        <v>49</v>
      </c>
      <c r="W13" s="1" t="s">
        <v>50</v>
      </c>
      <c r="X13" s="2">
        <v>35944.9</v>
      </c>
      <c r="Y13" s="2">
        <v>0.93449786999999995</v>
      </c>
      <c r="AA13" s="1" t="s">
        <v>51</v>
      </c>
      <c r="AC13" s="5">
        <v>44521</v>
      </c>
      <c r="AD13" s="5">
        <v>44928</v>
      </c>
      <c r="AE13" s="1">
        <v>2</v>
      </c>
      <c r="AF13" s="5">
        <v>24838</v>
      </c>
      <c r="AG13" s="5">
        <v>44196</v>
      </c>
      <c r="AH13" s="1">
        <v>0</v>
      </c>
      <c r="AI13" s="1" t="s">
        <v>55</v>
      </c>
      <c r="AJ13" s="1">
        <v>0</v>
      </c>
      <c r="AK13" s="1">
        <v>796</v>
      </c>
      <c r="AL13" s="1">
        <f t="shared" si="0"/>
        <v>4.3823745628479562</v>
      </c>
      <c r="AM13">
        <v>71016539</v>
      </c>
      <c r="AN13" s="2">
        <v>114.030344</v>
      </c>
      <c r="AO13">
        <v>71016535</v>
      </c>
      <c r="AP13" s="2">
        <v>37649.962374000002</v>
      </c>
      <c r="AQ13" s="1">
        <v>1</v>
      </c>
      <c r="AR13" s="2">
        <v>1</v>
      </c>
      <c r="AS13" s="4">
        <v>4.3549999999999998E-2</v>
      </c>
      <c r="AT13" s="4">
        <v>-1.1830000000000001</v>
      </c>
      <c r="AU13" s="4">
        <v>3.6179999999999999</v>
      </c>
      <c r="AV13" s="4">
        <v>0.10349999999999999</v>
      </c>
      <c r="AX13" s="1">
        <v>4.749284889833624</v>
      </c>
      <c r="AY13" s="3" t="s">
        <v>78</v>
      </c>
      <c r="AZ13" s="4">
        <v>4.3549999999999998E-2</v>
      </c>
      <c r="BA13" s="4">
        <v>-1.1830000000000001</v>
      </c>
      <c r="BB13" s="4">
        <v>3.6179999999999999</v>
      </c>
      <c r="BC13" s="4">
        <v>0.10349999999999999</v>
      </c>
      <c r="BD13" s="1">
        <v>4.3823745628479562</v>
      </c>
    </row>
    <row r="14" spans="1:56" x14ac:dyDescent="0.25">
      <c r="A14" s="1">
        <v>316</v>
      </c>
      <c r="B14" s="1" t="s">
        <v>43</v>
      </c>
      <c r="C14" s="6">
        <v>-1.3925860373285344</v>
      </c>
      <c r="D14" s="6" t="s">
        <v>80</v>
      </c>
      <c r="E14" s="1" t="s">
        <v>81</v>
      </c>
      <c r="F14" s="2">
        <v>50.86842</v>
      </c>
      <c r="G14" s="2">
        <v>-88.931610000000006</v>
      </c>
      <c r="H14" s="1" t="s">
        <v>46</v>
      </c>
      <c r="I14" s="2">
        <v>50.870188859999999</v>
      </c>
      <c r="J14" s="2">
        <v>-88.931855839999997</v>
      </c>
      <c r="K14" s="1" t="s">
        <v>46</v>
      </c>
      <c r="L14" s="2">
        <v>50.870416509999998</v>
      </c>
      <c r="M14" s="2">
        <v>-88.932083489999997</v>
      </c>
      <c r="N14" s="2">
        <v>-999</v>
      </c>
      <c r="O14" s="2">
        <v>-999</v>
      </c>
      <c r="Q14" s="2">
        <v>10467.785389999999</v>
      </c>
      <c r="R14" s="1" t="s">
        <v>47</v>
      </c>
      <c r="S14" s="2">
        <v>11200</v>
      </c>
      <c r="T14" s="1" t="s">
        <v>48</v>
      </c>
      <c r="V14" s="1" t="s">
        <v>49</v>
      </c>
      <c r="W14" s="1" t="s">
        <v>50</v>
      </c>
      <c r="X14" s="2">
        <v>11491.4</v>
      </c>
      <c r="Y14" s="2">
        <v>0.85625229800000002</v>
      </c>
      <c r="AA14" s="1" t="s">
        <v>82</v>
      </c>
      <c r="AB14" s="1" t="s">
        <v>83</v>
      </c>
      <c r="AC14" s="5">
        <v>44521</v>
      </c>
      <c r="AD14" s="5">
        <v>44928</v>
      </c>
      <c r="AE14" s="1">
        <v>2183</v>
      </c>
      <c r="AF14" s="5">
        <v>26146</v>
      </c>
      <c r="AG14" s="5">
        <v>44561</v>
      </c>
      <c r="AH14" s="1">
        <v>48</v>
      </c>
      <c r="AI14" s="1" t="s">
        <v>55</v>
      </c>
      <c r="AJ14" s="1">
        <v>0</v>
      </c>
      <c r="AK14" s="1">
        <v>237</v>
      </c>
      <c r="AL14" s="1">
        <f t="shared" si="0"/>
        <v>-1.3925860373285344</v>
      </c>
      <c r="AM14">
        <v>71034236</v>
      </c>
      <c r="AN14" s="2">
        <v>205.730765810669</v>
      </c>
      <c r="AO14">
        <v>71034233</v>
      </c>
      <c r="AP14" s="2">
        <v>11046.172543500001</v>
      </c>
      <c r="AQ14" s="1">
        <v>1</v>
      </c>
      <c r="AR14" s="2">
        <v>1</v>
      </c>
      <c r="AS14" s="4">
        <v>-0.128</v>
      </c>
      <c r="AT14" s="4">
        <v>-2.4430000000000001</v>
      </c>
      <c r="AU14" s="4">
        <v>-17.5</v>
      </c>
      <c r="AV14" s="4">
        <v>-0.44850000000000001</v>
      </c>
      <c r="AX14" s="1">
        <v>-1.3925860373285344</v>
      </c>
      <c r="AY14" s="3" t="s">
        <v>80</v>
      </c>
      <c r="AZ14" s="4">
        <v>-0.128</v>
      </c>
      <c r="BA14" s="4">
        <v>-2.4430000000000001</v>
      </c>
      <c r="BB14" s="4">
        <v>-17.5</v>
      </c>
      <c r="BC14" s="4">
        <v>-0.44850000000000001</v>
      </c>
      <c r="BD14" s="1">
        <v>-1.3925860373285344</v>
      </c>
    </row>
    <row r="15" spans="1:56" x14ac:dyDescent="0.25">
      <c r="A15" s="1">
        <v>481</v>
      </c>
      <c r="B15" s="1" t="s">
        <v>43</v>
      </c>
      <c r="C15" s="1">
        <v>-0.20197247534880872</v>
      </c>
      <c r="D15" s="1" t="s">
        <v>84</v>
      </c>
      <c r="E15" s="1" t="s">
        <v>85</v>
      </c>
      <c r="F15" s="2">
        <v>51.848500000000001</v>
      </c>
      <c r="G15" s="2">
        <v>-99.546170000000004</v>
      </c>
      <c r="H15" s="1" t="s">
        <v>46</v>
      </c>
      <c r="I15" s="2">
        <v>51.848733099999997</v>
      </c>
      <c r="J15" s="2">
        <v>-99.545247309999993</v>
      </c>
      <c r="K15" s="1" t="s">
        <v>46</v>
      </c>
      <c r="L15" s="2">
        <v>51.848733099999997</v>
      </c>
      <c r="M15" s="2">
        <v>-99.545000000000002</v>
      </c>
      <c r="N15" s="2">
        <v>-999</v>
      </c>
      <c r="O15" s="2">
        <v>-999</v>
      </c>
      <c r="Q15" s="2">
        <v>54631.730409999996</v>
      </c>
      <c r="R15" s="1" t="s">
        <v>47</v>
      </c>
      <c r="S15" s="2">
        <v>55100</v>
      </c>
      <c r="T15" s="1" t="s">
        <v>48</v>
      </c>
      <c r="V15" s="1" t="s">
        <v>49</v>
      </c>
      <c r="W15" s="1" t="s">
        <v>50</v>
      </c>
      <c r="X15" s="2">
        <v>54340.5</v>
      </c>
      <c r="Y15" s="2">
        <v>0.97868875099999997</v>
      </c>
      <c r="AA15" s="1" t="s">
        <v>51</v>
      </c>
      <c r="AC15" s="5">
        <v>44521</v>
      </c>
      <c r="AD15" s="5">
        <v>44928</v>
      </c>
      <c r="AE15" s="1">
        <v>51</v>
      </c>
      <c r="AF15" s="5">
        <v>18568</v>
      </c>
      <c r="AG15" s="5">
        <v>44926</v>
      </c>
      <c r="AH15" s="1">
        <v>128</v>
      </c>
      <c r="AI15" s="1" t="s">
        <v>73</v>
      </c>
      <c r="AJ15" s="1">
        <v>0</v>
      </c>
      <c r="AK15" s="1">
        <v>1284</v>
      </c>
      <c r="AL15" s="1">
        <f t="shared" si="0"/>
        <v>-0.20197247534880872</v>
      </c>
      <c r="AM15">
        <v>71027351</v>
      </c>
      <c r="AN15" s="2">
        <v>150.33375798929899</v>
      </c>
      <c r="AO15">
        <v>71027348</v>
      </c>
      <c r="AP15" s="2">
        <v>54988.9374818</v>
      </c>
      <c r="AQ15" s="1">
        <v>1</v>
      </c>
      <c r="AR15" s="2">
        <v>1</v>
      </c>
      <c r="AS15" s="4">
        <v>-0.38740000000000002</v>
      </c>
      <c r="AT15" s="4">
        <v>-2.6019999999999999</v>
      </c>
      <c r="AU15" s="4">
        <v>83.47</v>
      </c>
      <c r="AV15" s="4">
        <v>9.9680000000000005E-2</v>
      </c>
      <c r="AX15" s="1">
        <v>-0.20197247534880872</v>
      </c>
      <c r="AY15" s="3" t="s">
        <v>84</v>
      </c>
      <c r="AZ15" s="4">
        <v>-0.38740000000000002</v>
      </c>
      <c r="BA15" s="4">
        <v>-2.6019999999999999</v>
      </c>
      <c r="BB15" s="4">
        <v>83.47</v>
      </c>
      <c r="BC15" s="4">
        <v>9.9680000000000005E-2</v>
      </c>
      <c r="BD15" s="1">
        <v>-0.20197247534880872</v>
      </c>
    </row>
    <row r="16" spans="1:56" x14ac:dyDescent="0.25">
      <c r="A16" s="1">
        <v>554</v>
      </c>
      <c r="B16" s="1" t="s">
        <v>43</v>
      </c>
      <c r="C16" s="1">
        <v>3.7489953795377038</v>
      </c>
      <c r="D16" s="1" t="s">
        <v>86</v>
      </c>
      <c r="E16" s="1" t="s">
        <v>87</v>
      </c>
      <c r="F16" s="2">
        <v>55.74062</v>
      </c>
      <c r="G16" s="2">
        <v>-97.005170000000007</v>
      </c>
      <c r="H16" s="1" t="s">
        <v>46</v>
      </c>
      <c r="I16" s="2">
        <v>55.740226</v>
      </c>
      <c r="J16" s="2">
        <v>-97.005105779999994</v>
      </c>
      <c r="K16" s="1" t="s">
        <v>46</v>
      </c>
      <c r="L16" s="2">
        <v>55.74</v>
      </c>
      <c r="M16" s="2">
        <v>-97.005105779999994</v>
      </c>
      <c r="N16" s="2">
        <v>-999</v>
      </c>
      <c r="O16" s="2">
        <v>-999</v>
      </c>
      <c r="Q16" s="2">
        <v>15906.80163</v>
      </c>
      <c r="R16" s="1" t="s">
        <v>47</v>
      </c>
      <c r="S16" s="2">
        <v>15400</v>
      </c>
      <c r="T16" s="1" t="s">
        <v>48</v>
      </c>
      <c r="V16" s="1" t="s">
        <v>49</v>
      </c>
      <c r="W16" s="1" t="s">
        <v>50</v>
      </c>
      <c r="X16" s="2">
        <v>15400.9</v>
      </c>
      <c r="Y16" s="2">
        <v>0.94499528799999999</v>
      </c>
      <c r="AA16" s="1" t="s">
        <v>51</v>
      </c>
      <c r="AC16" s="5">
        <v>44521</v>
      </c>
      <c r="AD16" s="5">
        <v>44928</v>
      </c>
      <c r="AE16" s="1">
        <v>0</v>
      </c>
      <c r="AF16" s="5">
        <v>18384</v>
      </c>
      <c r="AG16" s="5">
        <v>44926</v>
      </c>
      <c r="AH16" s="1">
        <v>1025</v>
      </c>
      <c r="AI16" s="1" t="s">
        <v>73</v>
      </c>
      <c r="AJ16" s="1">
        <v>0</v>
      </c>
      <c r="AK16" s="1">
        <v>355</v>
      </c>
      <c r="AL16" s="1">
        <f>100*(AP16-S16)/AP16</f>
        <v>3.7489953795377038</v>
      </c>
      <c r="AM16">
        <v>71007602</v>
      </c>
      <c r="AN16" s="2">
        <v>125.845797984583</v>
      </c>
      <c r="AO16">
        <v>71007599</v>
      </c>
      <c r="AP16" s="2">
        <v>15999.8329999</v>
      </c>
      <c r="AQ16" s="1">
        <v>1</v>
      </c>
      <c r="AR16" s="2">
        <v>1</v>
      </c>
      <c r="AS16" s="4">
        <v>-0.7389</v>
      </c>
      <c r="AT16" s="4">
        <v>-6.0369999999999999</v>
      </c>
      <c r="AU16" s="4">
        <v>-46.2</v>
      </c>
      <c r="AV16" s="4">
        <v>-2.52</v>
      </c>
      <c r="AX16" s="1">
        <v>3.7489953795377038</v>
      </c>
      <c r="AY16" s="3" t="s">
        <v>86</v>
      </c>
      <c r="AZ16" s="4">
        <v>-0.7389</v>
      </c>
      <c r="BA16" s="4">
        <v>-6.0369999999999999</v>
      </c>
      <c r="BB16" s="4">
        <v>-46.2</v>
      </c>
      <c r="BC16" s="4">
        <v>-2.52</v>
      </c>
      <c r="BD16" s="1">
        <v>3.7489953795377038</v>
      </c>
    </row>
    <row r="17" spans="1:56" x14ac:dyDescent="0.25">
      <c r="A17" s="1">
        <v>569</v>
      </c>
      <c r="B17" s="1" t="s">
        <v>43</v>
      </c>
      <c r="C17" s="1">
        <v>-3.3492215036409791</v>
      </c>
      <c r="D17" s="1" t="s">
        <v>88</v>
      </c>
      <c r="E17" s="1" t="s">
        <v>89</v>
      </c>
      <c r="F17" s="2">
        <v>54.355159999999998</v>
      </c>
      <c r="G17" s="2">
        <v>-110.21729999999999</v>
      </c>
      <c r="H17" s="1" t="s">
        <v>46</v>
      </c>
      <c r="I17" s="2">
        <v>54.355511909999997</v>
      </c>
      <c r="J17" s="2">
        <v>-110.21712359999999</v>
      </c>
      <c r="K17" s="1" t="s">
        <v>46</v>
      </c>
      <c r="L17" s="2">
        <v>54.355901109999998</v>
      </c>
      <c r="M17" s="2">
        <v>-110.21673440000001</v>
      </c>
      <c r="N17" s="2">
        <v>-999</v>
      </c>
      <c r="O17" s="2">
        <v>-999</v>
      </c>
      <c r="Q17" s="2">
        <v>14030.09079</v>
      </c>
      <c r="R17" s="1" t="s">
        <v>47</v>
      </c>
      <c r="S17" s="2">
        <v>14500</v>
      </c>
      <c r="T17" s="1" t="s">
        <v>48</v>
      </c>
      <c r="U17" s="1" t="s">
        <v>90</v>
      </c>
      <c r="V17" s="1" t="s">
        <v>49</v>
      </c>
      <c r="W17" s="1" t="s">
        <v>50</v>
      </c>
      <c r="X17" s="2">
        <v>14385.7</v>
      </c>
      <c r="Y17" s="2">
        <v>0.96268228600000005</v>
      </c>
      <c r="AA17" s="1" t="s">
        <v>51</v>
      </c>
      <c r="AC17" s="5">
        <v>44521</v>
      </c>
      <c r="AD17" s="5">
        <v>44928</v>
      </c>
      <c r="AE17" s="1">
        <v>0</v>
      </c>
      <c r="AF17" s="5">
        <v>20363</v>
      </c>
      <c r="AG17" s="5">
        <v>44926</v>
      </c>
      <c r="AH17" s="1">
        <v>0</v>
      </c>
      <c r="AI17" s="1" t="s">
        <v>91</v>
      </c>
      <c r="AJ17" s="1">
        <v>0</v>
      </c>
      <c r="AK17" s="1">
        <v>317</v>
      </c>
      <c r="AL17" s="1">
        <f t="shared" si="0"/>
        <v>-3.3492215036409791</v>
      </c>
      <c r="AM17">
        <v>71011766</v>
      </c>
      <c r="AN17" s="2">
        <v>120.688234416603</v>
      </c>
      <c r="AO17">
        <v>71011764</v>
      </c>
      <c r="AP17" s="2">
        <v>14030.100845499999</v>
      </c>
      <c r="AQ17" s="1">
        <v>2</v>
      </c>
      <c r="AR17" s="2">
        <v>1</v>
      </c>
      <c r="AS17" s="4">
        <v>-0.24460000000000001</v>
      </c>
      <c r="AT17" s="4">
        <v>-2.7090000000000001</v>
      </c>
      <c r="AU17" s="4">
        <v>-17.670000000000002</v>
      </c>
      <c r="AV17" s="4">
        <v>-0.63929999999999998</v>
      </c>
      <c r="AX17" s="1">
        <v>-3.3492215036409791</v>
      </c>
      <c r="AY17" s="3" t="s">
        <v>88</v>
      </c>
      <c r="AZ17" s="4">
        <v>-0.24460000000000001</v>
      </c>
      <c r="BA17" s="4">
        <v>-2.7090000000000001</v>
      </c>
      <c r="BB17" s="4">
        <v>-17.670000000000002</v>
      </c>
      <c r="BC17" s="4">
        <v>-0.63929999999999998</v>
      </c>
      <c r="BD17" s="1">
        <v>-3.3492215036409791</v>
      </c>
    </row>
    <row r="18" spans="1:56" x14ac:dyDescent="0.25">
      <c r="A18" s="1">
        <v>580</v>
      </c>
      <c r="B18" s="1" t="s">
        <v>43</v>
      </c>
      <c r="C18" s="1">
        <v>-1.8720333056528915</v>
      </c>
      <c r="D18" s="1" t="s">
        <v>92</v>
      </c>
      <c r="E18" s="1" t="s">
        <v>93</v>
      </c>
      <c r="F18" s="2">
        <v>55.647689999999997</v>
      </c>
      <c r="G18" s="2">
        <v>-104.736</v>
      </c>
      <c r="H18" s="1" t="s">
        <v>46</v>
      </c>
      <c r="I18" s="2">
        <v>55.647359520000002</v>
      </c>
      <c r="J18" s="2">
        <v>-104.7369647</v>
      </c>
      <c r="K18" s="1" t="s">
        <v>46</v>
      </c>
      <c r="L18" s="2">
        <v>55.647995440000003</v>
      </c>
      <c r="M18" s="2">
        <v>-104.7363288</v>
      </c>
      <c r="N18" s="2">
        <v>-999</v>
      </c>
      <c r="O18" s="2">
        <v>-999</v>
      </c>
      <c r="Q18" s="2">
        <v>116717.2218</v>
      </c>
      <c r="R18" s="1" t="s">
        <v>47</v>
      </c>
      <c r="S18" s="2">
        <v>119000</v>
      </c>
      <c r="T18" s="1" t="s">
        <v>48</v>
      </c>
      <c r="U18" s="1" t="s">
        <v>94</v>
      </c>
      <c r="V18" s="1" t="s">
        <v>49</v>
      </c>
      <c r="W18" s="1" t="s">
        <v>50</v>
      </c>
      <c r="X18" s="2">
        <v>118472</v>
      </c>
      <c r="Y18" s="2">
        <v>0.97659895799999996</v>
      </c>
      <c r="AA18" s="1" t="s">
        <v>51</v>
      </c>
      <c r="AC18" s="5">
        <v>44521</v>
      </c>
      <c r="AD18" s="5">
        <v>44928</v>
      </c>
      <c r="AE18" s="1">
        <v>0</v>
      </c>
      <c r="AF18" s="5">
        <v>23285</v>
      </c>
      <c r="AG18" s="5">
        <v>44561</v>
      </c>
      <c r="AH18" s="1">
        <v>0</v>
      </c>
      <c r="AI18" s="1" t="s">
        <v>73</v>
      </c>
      <c r="AJ18" s="1">
        <v>0</v>
      </c>
      <c r="AK18" s="1">
        <v>2631</v>
      </c>
      <c r="AL18" s="1">
        <f t="shared" si="0"/>
        <v>-1.8720333056528915</v>
      </c>
      <c r="AM18">
        <v>71007531</v>
      </c>
      <c r="AN18" s="2">
        <v>109.923515622143</v>
      </c>
      <c r="AO18">
        <v>71007527</v>
      </c>
      <c r="AP18" s="2">
        <v>116813.21765999999</v>
      </c>
      <c r="AQ18" s="1">
        <v>1</v>
      </c>
      <c r="AR18" s="2">
        <v>1</v>
      </c>
      <c r="AS18" s="4">
        <v>-1.9339999999999999</v>
      </c>
      <c r="AT18" s="4">
        <v>-13.6</v>
      </c>
      <c r="AU18" s="4">
        <v>-0.19209999999999999</v>
      </c>
      <c r="AV18" s="4">
        <v>-1.9410000000000001</v>
      </c>
      <c r="AX18" s="1">
        <v>-1.8720333056528915</v>
      </c>
      <c r="AY18" s="3" t="s">
        <v>92</v>
      </c>
      <c r="AZ18" s="4">
        <v>-1.9339999999999999</v>
      </c>
      <c r="BA18" s="4">
        <v>-13.6</v>
      </c>
      <c r="BB18" s="4">
        <v>-0.19209999999999999</v>
      </c>
      <c r="BC18" s="4">
        <v>-1.9410000000000001</v>
      </c>
      <c r="BD18" s="1">
        <v>-1.8720333056528915</v>
      </c>
    </row>
    <row r="19" spans="1:56" x14ac:dyDescent="0.25">
      <c r="A19" s="1">
        <v>581</v>
      </c>
      <c r="B19" s="1" t="s">
        <v>43</v>
      </c>
      <c r="C19" s="1" t="s">
        <v>166</v>
      </c>
      <c r="D19" s="1" t="s">
        <v>95</v>
      </c>
      <c r="E19" s="1" t="s">
        <v>96</v>
      </c>
      <c r="F19" s="2">
        <v>58.483530000000002</v>
      </c>
      <c r="G19" s="2">
        <v>-103.28530000000001</v>
      </c>
      <c r="H19" s="1" t="s">
        <v>46</v>
      </c>
      <c r="I19" s="2">
        <v>58.640558249999998</v>
      </c>
      <c r="J19" s="2">
        <v>-103.0167752</v>
      </c>
      <c r="K19" s="1" t="s">
        <v>46</v>
      </c>
      <c r="L19" s="2">
        <v>58.640333400000003</v>
      </c>
      <c r="M19" s="2">
        <v>-103.0170001</v>
      </c>
      <c r="N19" s="2">
        <v>-999</v>
      </c>
      <c r="O19" s="2">
        <v>-999</v>
      </c>
      <c r="Q19" s="2">
        <v>17266.090909999999</v>
      </c>
      <c r="R19" s="1" t="s">
        <v>47</v>
      </c>
      <c r="S19" s="2">
        <v>16400</v>
      </c>
      <c r="T19" s="1" t="s">
        <v>48</v>
      </c>
      <c r="U19" s="1" t="s">
        <v>97</v>
      </c>
      <c r="V19" s="1" t="s">
        <v>49</v>
      </c>
      <c r="W19" s="1" t="s">
        <v>50</v>
      </c>
      <c r="X19" s="2">
        <v>16396.3</v>
      </c>
      <c r="Y19" s="2">
        <v>0.94187639999999995</v>
      </c>
      <c r="AA19" s="1" t="s">
        <v>51</v>
      </c>
      <c r="AC19" s="5"/>
      <c r="AD19" s="5"/>
      <c r="AE19" s="1">
        <v>-1</v>
      </c>
      <c r="AF19" s="5"/>
      <c r="AG19" s="5"/>
      <c r="AH19" s="1">
        <v>-1</v>
      </c>
      <c r="AJ19" s="1">
        <v>0</v>
      </c>
      <c r="AK19" s="1">
        <v>391</v>
      </c>
      <c r="AL19" s="1">
        <f t="shared" si="0"/>
        <v>2.260665996323711</v>
      </c>
      <c r="AM19">
        <v>71000840</v>
      </c>
      <c r="AN19" s="2">
        <v>169.16960800000001</v>
      </c>
      <c r="AO19">
        <v>71000837</v>
      </c>
      <c r="AP19" s="2">
        <v>16779.324483</v>
      </c>
      <c r="AQ19" s="1">
        <v>1</v>
      </c>
      <c r="AR19" s="2">
        <v>1</v>
      </c>
      <c r="AS19" s="4"/>
      <c r="AT19" s="4"/>
      <c r="AU19" s="4"/>
      <c r="AV19" s="4"/>
      <c r="AX19" s="1" t="s">
        <v>166</v>
      </c>
      <c r="AY19" s="1" t="s">
        <v>95</v>
      </c>
      <c r="AZ19" s="4"/>
      <c r="BA19" s="4"/>
      <c r="BB19" s="4"/>
      <c r="BC19" s="4"/>
      <c r="BD19" s="1">
        <v>2.260665996323711</v>
      </c>
    </row>
    <row r="20" spans="1:56" x14ac:dyDescent="0.25">
      <c r="A20" s="1">
        <v>590</v>
      </c>
      <c r="B20" s="1" t="s">
        <v>43</v>
      </c>
      <c r="C20" s="1">
        <v>1.2005269785410981</v>
      </c>
      <c r="D20" s="1" t="s">
        <v>98</v>
      </c>
      <c r="E20" s="1" t="s">
        <v>99</v>
      </c>
      <c r="F20" s="2">
        <v>58.891289999999998</v>
      </c>
      <c r="G20" s="2">
        <v>-96.276690000000002</v>
      </c>
      <c r="H20" s="1" t="s">
        <v>46</v>
      </c>
      <c r="I20" s="2">
        <v>58.89021099</v>
      </c>
      <c r="J20" s="2">
        <v>-96.275770480000006</v>
      </c>
      <c r="K20" s="1" t="s">
        <v>46</v>
      </c>
      <c r="L20" s="2">
        <v>58.890136920000003</v>
      </c>
      <c r="M20" s="2">
        <v>-96.275696409999995</v>
      </c>
      <c r="N20" s="2">
        <v>-999</v>
      </c>
      <c r="O20" s="2">
        <v>-999</v>
      </c>
      <c r="Q20" s="2">
        <v>48313.170680000003</v>
      </c>
      <c r="R20" s="1" t="s">
        <v>47</v>
      </c>
      <c r="S20" s="2">
        <v>48100</v>
      </c>
      <c r="T20" s="1" t="s">
        <v>48</v>
      </c>
      <c r="V20" s="1" t="s">
        <v>49</v>
      </c>
      <c r="W20" s="1" t="s">
        <v>50</v>
      </c>
      <c r="X20" s="2">
        <v>48122.9</v>
      </c>
      <c r="Y20" s="2">
        <v>0.98915742299999998</v>
      </c>
      <c r="AA20" s="1" t="s">
        <v>51</v>
      </c>
      <c r="AC20" s="5">
        <v>44521</v>
      </c>
      <c r="AD20" s="5">
        <v>44928</v>
      </c>
      <c r="AE20" s="1">
        <v>19</v>
      </c>
      <c r="AF20" s="5">
        <v>20090</v>
      </c>
      <c r="AG20" s="5">
        <v>44561</v>
      </c>
      <c r="AH20" s="1">
        <v>463</v>
      </c>
      <c r="AI20" s="1" t="s">
        <v>73</v>
      </c>
      <c r="AJ20" s="1">
        <v>0</v>
      </c>
      <c r="AK20" s="1">
        <v>1124</v>
      </c>
      <c r="AL20" s="1">
        <f t="shared" si="0"/>
        <v>1.2005269785410981</v>
      </c>
      <c r="AM20">
        <v>71000720</v>
      </c>
      <c r="AN20" s="2">
        <v>169.59457673402801</v>
      </c>
      <c r="AO20">
        <v>71000717</v>
      </c>
      <c r="AP20" s="2">
        <v>48684.470199099997</v>
      </c>
      <c r="AQ20" s="1">
        <v>1</v>
      </c>
      <c r="AR20" s="2">
        <v>1</v>
      </c>
      <c r="AS20" s="4">
        <v>-0.33539999999999998</v>
      </c>
      <c r="AT20" s="4">
        <v>-3.07</v>
      </c>
      <c r="AU20" s="4">
        <v>-21.56</v>
      </c>
      <c r="AV20" s="4">
        <v>-0.88060000000000005</v>
      </c>
      <c r="AX20" s="1">
        <v>1.2005269785410981</v>
      </c>
      <c r="AY20" s="3" t="s">
        <v>98</v>
      </c>
      <c r="AZ20" s="4">
        <v>-0.33539999999999998</v>
      </c>
      <c r="BA20" s="4">
        <v>-3.07</v>
      </c>
      <c r="BB20" s="4">
        <v>-21.56</v>
      </c>
      <c r="BC20" s="4">
        <v>-0.88060000000000005</v>
      </c>
      <c r="BD20" s="1">
        <v>1.2005269785410981</v>
      </c>
    </row>
    <row r="21" spans="1:56" x14ac:dyDescent="0.25">
      <c r="A21" s="1">
        <v>594</v>
      </c>
      <c r="B21" s="1" t="s">
        <v>43</v>
      </c>
      <c r="C21" s="1">
        <v>9.7410746580184393E-2</v>
      </c>
      <c r="D21" s="1" t="s">
        <v>100</v>
      </c>
      <c r="E21" s="1" t="s">
        <v>101</v>
      </c>
      <c r="F21" s="2">
        <v>64.232420000000005</v>
      </c>
      <c r="G21" s="2">
        <v>-99.476079999999996</v>
      </c>
      <c r="H21" s="1" t="s">
        <v>46</v>
      </c>
      <c r="I21" s="2">
        <v>64.235685380000007</v>
      </c>
      <c r="J21" s="2">
        <v>-99.475318680000001</v>
      </c>
      <c r="K21" s="1" t="s">
        <v>46</v>
      </c>
      <c r="L21" s="2">
        <v>64.235833330000006</v>
      </c>
      <c r="M21" s="2">
        <v>-99.475318680000001</v>
      </c>
      <c r="N21" s="2">
        <v>-999</v>
      </c>
      <c r="O21" s="2">
        <v>-999</v>
      </c>
      <c r="Q21" s="2">
        <v>67017.37887</v>
      </c>
      <c r="R21" s="1" t="s">
        <v>47</v>
      </c>
      <c r="S21" s="2">
        <v>67300</v>
      </c>
      <c r="T21" s="1" t="s">
        <v>48</v>
      </c>
      <c r="V21" s="1" t="s">
        <v>49</v>
      </c>
      <c r="W21" s="1" t="s">
        <v>50</v>
      </c>
      <c r="X21" s="2">
        <v>67124.5</v>
      </c>
      <c r="Y21" s="2">
        <v>0.98892197900000001</v>
      </c>
      <c r="AA21" s="1" t="s">
        <v>51</v>
      </c>
      <c r="AC21" s="5">
        <v>44711</v>
      </c>
      <c r="AD21" s="5">
        <v>44835</v>
      </c>
      <c r="AE21" s="1">
        <v>231</v>
      </c>
      <c r="AF21" s="5">
        <v>25020</v>
      </c>
      <c r="AG21" s="5">
        <v>43404</v>
      </c>
      <c r="AH21" s="1">
        <v>486</v>
      </c>
      <c r="AI21" s="1" t="s">
        <v>73</v>
      </c>
      <c r="AJ21" s="1">
        <v>0</v>
      </c>
      <c r="AK21" s="1">
        <v>1548</v>
      </c>
      <c r="AL21" s="1">
        <f t="shared" si="0"/>
        <v>9.7410746580184393E-2</v>
      </c>
      <c r="AM21">
        <v>83012630</v>
      </c>
      <c r="AN21" s="2">
        <v>123.497348602429</v>
      </c>
      <c r="AO21">
        <v>83012626</v>
      </c>
      <c r="AP21" s="2">
        <v>67365.621354699993</v>
      </c>
      <c r="AQ21" s="1">
        <v>1</v>
      </c>
      <c r="AR21" s="2">
        <v>1</v>
      </c>
      <c r="AS21" s="4">
        <v>-0.89170000000000005</v>
      </c>
      <c r="AT21" s="4">
        <v>-4.1289999999999996</v>
      </c>
      <c r="AU21" s="4">
        <v>6.4009999999999998</v>
      </c>
      <c r="AV21" s="4">
        <v>-0.72119999999999995</v>
      </c>
      <c r="AX21" s="1">
        <v>9.7410746580184393E-2</v>
      </c>
      <c r="AY21" s="3" t="s">
        <v>100</v>
      </c>
      <c r="AZ21" s="4">
        <v>-0.89170000000000005</v>
      </c>
      <c r="BA21" s="4">
        <v>-4.1289999999999996</v>
      </c>
      <c r="BB21" s="4">
        <v>6.4009999999999998</v>
      </c>
      <c r="BC21" s="4">
        <v>-0.72119999999999995</v>
      </c>
      <c r="BD21" s="1">
        <v>9.7410746580184393E-2</v>
      </c>
    </row>
    <row r="22" spans="1:56" x14ac:dyDescent="0.25">
      <c r="A22" s="1">
        <v>595</v>
      </c>
      <c r="B22" s="1" t="s">
        <v>43</v>
      </c>
      <c r="C22" s="1">
        <v>-0.99150724947689994</v>
      </c>
      <c r="D22" s="1" t="s">
        <v>102</v>
      </c>
      <c r="E22" s="1" t="s">
        <v>103</v>
      </c>
      <c r="F22" s="2">
        <v>61.253610000000002</v>
      </c>
      <c r="G22" s="2">
        <v>-100.9739</v>
      </c>
      <c r="H22" s="1" t="s">
        <v>46</v>
      </c>
      <c r="I22" s="2">
        <v>61.254630749999997</v>
      </c>
      <c r="J22" s="2">
        <v>-100.9698578</v>
      </c>
      <c r="K22" s="1" t="s">
        <v>46</v>
      </c>
      <c r="L22" s="2">
        <v>61.255000000000003</v>
      </c>
      <c r="M22" s="2">
        <v>-100.9698578</v>
      </c>
      <c r="N22" s="2">
        <v>-999</v>
      </c>
      <c r="O22" s="2">
        <v>-999</v>
      </c>
      <c r="Q22" s="2">
        <v>21116.50491</v>
      </c>
      <c r="R22" s="1" t="s">
        <v>47</v>
      </c>
      <c r="S22" s="2">
        <v>21400</v>
      </c>
      <c r="T22" s="1" t="s">
        <v>48</v>
      </c>
      <c r="V22" s="1" t="s">
        <v>49</v>
      </c>
      <c r="W22" s="1" t="s">
        <v>50</v>
      </c>
      <c r="X22" s="2">
        <v>21386</v>
      </c>
      <c r="Y22" s="2">
        <v>0.98208743700000001</v>
      </c>
      <c r="AA22" s="1" t="s">
        <v>51</v>
      </c>
      <c r="AC22" s="5"/>
      <c r="AD22" s="5"/>
      <c r="AE22" s="1">
        <v>-1</v>
      </c>
      <c r="AF22" s="5">
        <v>22890</v>
      </c>
      <c r="AG22" s="5">
        <v>43465</v>
      </c>
      <c r="AH22" s="1">
        <v>603</v>
      </c>
      <c r="AI22" s="1" t="s">
        <v>73</v>
      </c>
      <c r="AJ22" s="1">
        <v>0</v>
      </c>
      <c r="AK22" s="1">
        <v>486</v>
      </c>
      <c r="AL22" s="1">
        <f t="shared" si="0"/>
        <v>-0.99150724947689994</v>
      </c>
      <c r="AM22">
        <v>83020078</v>
      </c>
      <c r="AN22" s="2">
        <v>132.051382202355</v>
      </c>
      <c r="AO22">
        <v>83020067</v>
      </c>
      <c r="AP22" s="2">
        <v>21189.9005994</v>
      </c>
      <c r="AQ22" s="1">
        <v>1</v>
      </c>
      <c r="AR22" s="2">
        <v>1</v>
      </c>
      <c r="AS22" s="4">
        <v>-0.42280000000000001</v>
      </c>
      <c r="AT22" s="4">
        <v>-2.105</v>
      </c>
      <c r="AU22" s="4">
        <v>-17.54</v>
      </c>
      <c r="AV22" s="4">
        <v>-0.92600000000000005</v>
      </c>
      <c r="AX22" s="1">
        <v>-0.99150724947689994</v>
      </c>
      <c r="AY22" s="3" t="s">
        <v>102</v>
      </c>
      <c r="AZ22" s="4">
        <v>-0.42280000000000001</v>
      </c>
      <c r="BA22" s="4">
        <v>-2.105</v>
      </c>
      <c r="BB22" s="4">
        <v>-17.54</v>
      </c>
      <c r="BC22" s="4">
        <v>-0.92600000000000005</v>
      </c>
      <c r="BD22" s="1">
        <v>-0.99150724947689994</v>
      </c>
    </row>
    <row r="23" spans="1:56" x14ac:dyDescent="0.25">
      <c r="A23" s="1">
        <v>596</v>
      </c>
      <c r="B23" s="1" t="s">
        <v>43</v>
      </c>
      <c r="C23" s="1">
        <v>-1.6315074016545952</v>
      </c>
      <c r="D23" s="1" t="s">
        <v>104</v>
      </c>
      <c r="E23" s="1" t="s">
        <v>105</v>
      </c>
      <c r="F23" s="2">
        <v>63.65258</v>
      </c>
      <c r="G23" s="2">
        <v>-95.852109999999996</v>
      </c>
      <c r="H23" s="1" t="s">
        <v>46</v>
      </c>
      <c r="I23" s="2">
        <v>63.650755070000002</v>
      </c>
      <c r="J23" s="2">
        <v>-95.851611820000002</v>
      </c>
      <c r="K23" s="1" t="s">
        <v>46</v>
      </c>
      <c r="L23" s="2">
        <v>63.650833329999998</v>
      </c>
      <c r="M23" s="2">
        <v>-95.85166667</v>
      </c>
      <c r="N23" s="2">
        <v>-999</v>
      </c>
      <c r="O23" s="2">
        <v>-999</v>
      </c>
      <c r="Q23" s="2">
        <v>68606.922219999993</v>
      </c>
      <c r="R23" s="1" t="s">
        <v>47</v>
      </c>
      <c r="S23" s="2">
        <v>70000</v>
      </c>
      <c r="T23" s="1" t="s">
        <v>48</v>
      </c>
      <c r="V23" s="1" t="s">
        <v>49</v>
      </c>
      <c r="W23" s="1" t="s">
        <v>50</v>
      </c>
      <c r="X23" s="2">
        <v>68770.8</v>
      </c>
      <c r="Y23" s="2">
        <v>0.98806506800000005</v>
      </c>
      <c r="AA23" s="1" t="s">
        <v>51</v>
      </c>
      <c r="AC23" s="5">
        <v>44728</v>
      </c>
      <c r="AD23" s="5">
        <v>44849</v>
      </c>
      <c r="AE23" s="1">
        <v>261</v>
      </c>
      <c r="AF23" s="5">
        <v>23924</v>
      </c>
      <c r="AG23" s="5">
        <v>43465</v>
      </c>
      <c r="AH23" s="1">
        <v>235</v>
      </c>
      <c r="AI23" s="1" t="s">
        <v>73</v>
      </c>
      <c r="AJ23" s="1">
        <v>0</v>
      </c>
      <c r="AK23" s="1">
        <v>1580</v>
      </c>
      <c r="AL23" s="1">
        <f t="shared" si="0"/>
        <v>-1.6315074016545952</v>
      </c>
      <c r="AM23">
        <v>83015708</v>
      </c>
      <c r="AN23" s="2">
        <v>157.17919092563599</v>
      </c>
      <c r="AO23">
        <v>83015705</v>
      </c>
      <c r="AP23" s="2">
        <v>68876.278419599999</v>
      </c>
      <c r="AQ23" s="1">
        <v>1</v>
      </c>
      <c r="AR23" s="2">
        <v>1</v>
      </c>
      <c r="AS23" s="4">
        <v>0.71909999999999996</v>
      </c>
      <c r="AT23" s="4">
        <v>0.59670000000000001</v>
      </c>
      <c r="AU23" s="4">
        <v>-4.4930000000000003</v>
      </c>
      <c r="AV23" s="4">
        <v>0.66790000000000005</v>
      </c>
      <c r="AX23" s="1">
        <v>-1.6315074016545952</v>
      </c>
      <c r="AY23" s="1" t="s">
        <v>104</v>
      </c>
      <c r="AZ23" s="4">
        <v>0.71909999999999996</v>
      </c>
      <c r="BA23" s="4">
        <v>0.59670000000000001</v>
      </c>
      <c r="BB23" s="4">
        <v>-4.4930000000000003</v>
      </c>
      <c r="BC23" s="4">
        <v>0.66790000000000005</v>
      </c>
      <c r="BD23" s="1">
        <v>-1.6315074016545952</v>
      </c>
    </row>
    <row r="24" spans="1:56" x14ac:dyDescent="0.25">
      <c r="A24" s="1">
        <v>645</v>
      </c>
      <c r="B24" s="1" t="s">
        <v>43</v>
      </c>
      <c r="C24" s="1">
        <v>3.7637608700564829</v>
      </c>
      <c r="D24" s="1" t="s">
        <v>106</v>
      </c>
      <c r="E24" s="1" t="s">
        <v>107</v>
      </c>
      <c r="F24" s="2">
        <v>56.68526</v>
      </c>
      <c r="G24" s="2">
        <v>-111.25530000000001</v>
      </c>
      <c r="H24" s="1" t="s">
        <v>46</v>
      </c>
      <c r="I24" s="2">
        <v>56.684579100000001</v>
      </c>
      <c r="J24" s="2">
        <v>-111.2552362</v>
      </c>
      <c r="K24" s="1" t="s">
        <v>46</v>
      </c>
      <c r="L24" s="2">
        <v>56.684491000000001</v>
      </c>
      <c r="M24" s="2">
        <v>-111.2553243</v>
      </c>
      <c r="N24" s="2">
        <v>-999</v>
      </c>
      <c r="O24" s="2">
        <v>-999</v>
      </c>
      <c r="Q24" s="2">
        <v>30861.461360000001</v>
      </c>
      <c r="R24" s="1" t="s">
        <v>47</v>
      </c>
      <c r="S24" s="2">
        <v>30800</v>
      </c>
      <c r="T24" s="1" t="s">
        <v>48</v>
      </c>
      <c r="U24" s="1" t="s">
        <v>108</v>
      </c>
      <c r="V24" s="1" t="s">
        <v>49</v>
      </c>
      <c r="W24" s="1" t="s">
        <v>50</v>
      </c>
      <c r="X24" s="2">
        <v>30796</v>
      </c>
      <c r="Y24" s="2">
        <v>0.986824013</v>
      </c>
      <c r="AA24" s="1" t="s">
        <v>51</v>
      </c>
      <c r="AC24" s="5">
        <v>44521</v>
      </c>
      <c r="AD24" s="5">
        <v>44928</v>
      </c>
      <c r="AE24" s="1">
        <v>0</v>
      </c>
      <c r="AF24" s="5">
        <v>19511</v>
      </c>
      <c r="AG24" s="5">
        <v>44926</v>
      </c>
      <c r="AH24" s="1">
        <v>105</v>
      </c>
      <c r="AI24" s="1" t="s">
        <v>91</v>
      </c>
      <c r="AJ24" s="1">
        <v>0</v>
      </c>
      <c r="AK24" s="1">
        <v>669</v>
      </c>
      <c r="AL24" s="1">
        <f t="shared" si="0"/>
        <v>-0.47427042763995919</v>
      </c>
      <c r="AM24">
        <v>82034393</v>
      </c>
      <c r="AN24" s="2">
        <v>190.76845700000001</v>
      </c>
      <c r="AO24">
        <v>82034390</v>
      </c>
      <c r="AP24" s="2">
        <v>30654.614229999999</v>
      </c>
      <c r="AQ24" s="1">
        <v>1</v>
      </c>
      <c r="AR24" s="2">
        <v>1</v>
      </c>
      <c r="AS24" s="4">
        <v>-0.51910000000000001</v>
      </c>
      <c r="AT24" s="4">
        <v>-3.4249999999999998</v>
      </c>
      <c r="AU24" s="4">
        <v>-15.33</v>
      </c>
      <c r="AV24" s="4">
        <v>-0.9405</v>
      </c>
      <c r="AX24" s="1">
        <v>3.7637608700564829</v>
      </c>
      <c r="AY24" s="3" t="s">
        <v>106</v>
      </c>
      <c r="AZ24" s="4">
        <v>-0.51910000000000001</v>
      </c>
      <c r="BA24" s="4">
        <v>-3.4249999999999998</v>
      </c>
      <c r="BB24" s="4">
        <v>-15.33</v>
      </c>
      <c r="BC24" s="4">
        <v>-0.9405</v>
      </c>
      <c r="BD24" s="1">
        <v>-0.47427042763995919</v>
      </c>
    </row>
    <row r="25" spans="1:56" x14ac:dyDescent="0.25">
      <c r="A25" s="1">
        <v>670</v>
      </c>
      <c r="B25" s="1" t="s">
        <v>43</v>
      </c>
      <c r="C25" s="1">
        <v>0.69324133735812798</v>
      </c>
      <c r="D25" s="1" t="s">
        <v>109</v>
      </c>
      <c r="E25" s="1" t="s">
        <v>110</v>
      </c>
      <c r="F25" s="2">
        <v>55.718440000000001</v>
      </c>
      <c r="G25" s="2">
        <v>-121.2116</v>
      </c>
      <c r="H25" s="1" t="s">
        <v>46</v>
      </c>
      <c r="I25" s="2">
        <v>55.719001390000003</v>
      </c>
      <c r="J25" s="2">
        <v>-121.2116836</v>
      </c>
      <c r="K25" s="1" t="s">
        <v>46</v>
      </c>
      <c r="L25" s="2">
        <v>55.718658869999999</v>
      </c>
      <c r="M25" s="2">
        <v>-121.2113411</v>
      </c>
      <c r="N25" s="2">
        <v>-999</v>
      </c>
      <c r="O25" s="2">
        <v>-999</v>
      </c>
      <c r="Q25" s="2">
        <v>12090.666209999999</v>
      </c>
      <c r="R25" s="1" t="s">
        <v>47</v>
      </c>
      <c r="S25" s="2">
        <v>12100</v>
      </c>
      <c r="T25" s="1" t="s">
        <v>48</v>
      </c>
      <c r="V25" s="1" t="s">
        <v>49</v>
      </c>
      <c r="W25" s="1" t="s">
        <v>50</v>
      </c>
      <c r="X25" s="2">
        <v>12136.3</v>
      </c>
      <c r="Y25" s="2">
        <v>0.99372148199999999</v>
      </c>
      <c r="AA25" s="1" t="s">
        <v>51</v>
      </c>
      <c r="AC25" s="5">
        <v>44521</v>
      </c>
      <c r="AD25" s="5">
        <v>44928</v>
      </c>
      <c r="AE25" s="1">
        <v>0</v>
      </c>
      <c r="AF25" s="5">
        <v>22282</v>
      </c>
      <c r="AG25" s="5">
        <v>44561</v>
      </c>
      <c r="AH25" s="1">
        <v>222</v>
      </c>
      <c r="AI25" s="1" t="s">
        <v>91</v>
      </c>
      <c r="AJ25" s="1">
        <v>0</v>
      </c>
      <c r="AK25" s="1">
        <v>269</v>
      </c>
      <c r="AL25" s="1">
        <f t="shared" si="0"/>
        <v>0.69324133735812798</v>
      </c>
      <c r="AM25">
        <v>82038010</v>
      </c>
      <c r="AN25" s="2">
        <v>129.84141126561201</v>
      </c>
      <c r="AO25">
        <v>82038008</v>
      </c>
      <c r="AP25" s="2">
        <v>12184.467767300001</v>
      </c>
      <c r="AQ25" s="1">
        <v>1</v>
      </c>
      <c r="AR25" s="2">
        <v>1</v>
      </c>
      <c r="AS25" s="4">
        <v>0.36170000000000002</v>
      </c>
      <c r="AT25" s="4">
        <v>0.55710000000000004</v>
      </c>
      <c r="AU25" s="4">
        <v>-43.87</v>
      </c>
      <c r="AV25" s="4">
        <v>0.54279999999999995</v>
      </c>
      <c r="AX25" s="1">
        <v>0.69324133735812798</v>
      </c>
      <c r="AY25" s="1" t="s">
        <v>109</v>
      </c>
      <c r="AZ25" s="4">
        <v>0.36170000000000002</v>
      </c>
      <c r="BA25" s="4">
        <v>0.55710000000000004</v>
      </c>
      <c r="BB25" s="4">
        <v>-43.87</v>
      </c>
      <c r="BC25" s="4">
        <v>0.54279999999999995</v>
      </c>
      <c r="BD25" s="1">
        <v>0.69324133735812798</v>
      </c>
    </row>
    <row r="26" spans="1:56" x14ac:dyDescent="0.25">
      <c r="A26" s="1">
        <v>717</v>
      </c>
      <c r="B26" s="1" t="s">
        <v>43</v>
      </c>
      <c r="C26" s="1">
        <v>-1.4306057760689808</v>
      </c>
      <c r="D26" s="1" t="s">
        <v>111</v>
      </c>
      <c r="E26" s="1" t="s">
        <v>112</v>
      </c>
      <c r="F26" s="2">
        <v>59.150028229999997</v>
      </c>
      <c r="G26" s="2">
        <v>-105.5430832</v>
      </c>
      <c r="H26" s="1" t="s">
        <v>113</v>
      </c>
      <c r="I26" s="2">
        <v>-999</v>
      </c>
      <c r="J26" s="2">
        <v>-999</v>
      </c>
      <c r="L26" s="2">
        <v>59.14833333</v>
      </c>
      <c r="M26" s="2">
        <v>-105.5425</v>
      </c>
      <c r="N26" s="2">
        <v>-999</v>
      </c>
      <c r="O26" s="2">
        <v>-999</v>
      </c>
      <c r="Q26" s="2">
        <v>49969.382709999998</v>
      </c>
      <c r="R26" s="1" t="s">
        <v>47</v>
      </c>
      <c r="S26" s="2">
        <v>50700</v>
      </c>
      <c r="T26" s="1" t="s">
        <v>48</v>
      </c>
      <c r="U26" s="1" t="s">
        <v>114</v>
      </c>
      <c r="V26" s="1" t="s">
        <v>49</v>
      </c>
      <c r="W26" s="1" t="s">
        <v>115</v>
      </c>
      <c r="X26" s="2">
        <v>50732.344550000002</v>
      </c>
      <c r="Y26" s="2">
        <v>0.97771719099999999</v>
      </c>
      <c r="AA26" s="1" t="s">
        <v>51</v>
      </c>
      <c r="AC26" s="5">
        <v>44521</v>
      </c>
      <c r="AD26" s="5">
        <v>44928</v>
      </c>
      <c r="AE26" s="1">
        <v>0</v>
      </c>
      <c r="AF26" s="5">
        <v>23012</v>
      </c>
      <c r="AG26" s="5">
        <v>44561</v>
      </c>
      <c r="AH26" s="1">
        <v>131</v>
      </c>
      <c r="AI26" s="1" t="s">
        <v>73</v>
      </c>
      <c r="AJ26" s="1">
        <v>0</v>
      </c>
      <c r="AK26" s="1">
        <v>1083</v>
      </c>
      <c r="AL26" s="1">
        <f t="shared" si="0"/>
        <v>-1.4306057760689808</v>
      </c>
      <c r="AM26">
        <v>82025161</v>
      </c>
      <c r="AN26" s="2">
        <v>198.32562492238901</v>
      </c>
      <c r="AO26">
        <v>82025159</v>
      </c>
      <c r="AP26" s="2">
        <v>49984.912948199999</v>
      </c>
      <c r="AQ26" s="1">
        <v>1</v>
      </c>
      <c r="AR26" s="2">
        <v>1</v>
      </c>
      <c r="AS26" s="4">
        <v>-3.3559999999999999</v>
      </c>
      <c r="AT26" s="4">
        <v>-24.71</v>
      </c>
      <c r="AU26" s="4">
        <v>-11.9</v>
      </c>
      <c r="AV26" s="4">
        <v>-4.0650000000000004</v>
      </c>
      <c r="AX26" s="1">
        <v>-1.4306057760689808</v>
      </c>
      <c r="AY26" s="3" t="s">
        <v>111</v>
      </c>
      <c r="AZ26" s="4">
        <v>-3.3559999999999999</v>
      </c>
      <c r="BA26" s="4">
        <v>-24.71</v>
      </c>
      <c r="BB26" s="4">
        <v>-11.9</v>
      </c>
      <c r="BC26" s="4">
        <v>-4.0650000000000004</v>
      </c>
      <c r="BD26" s="1">
        <v>-1.4306057760689808</v>
      </c>
    </row>
    <row r="27" spans="1:56" x14ac:dyDescent="0.25">
      <c r="A27" s="1">
        <v>721</v>
      </c>
      <c r="B27" s="1" t="s">
        <v>43</v>
      </c>
      <c r="C27" s="1">
        <v>-1.2192791842561062</v>
      </c>
      <c r="D27" s="1" t="s">
        <v>116</v>
      </c>
      <c r="E27" s="1" t="s">
        <v>117</v>
      </c>
      <c r="F27" s="2">
        <v>60.743000000000002</v>
      </c>
      <c r="G27" s="2">
        <v>-115.8596</v>
      </c>
      <c r="H27" s="1" t="s">
        <v>46</v>
      </c>
      <c r="I27" s="2">
        <v>60.743017969999997</v>
      </c>
      <c r="J27" s="2">
        <v>-115.85777969999999</v>
      </c>
      <c r="K27" s="1" t="s">
        <v>46</v>
      </c>
      <c r="L27" s="2">
        <v>60.742898850000003</v>
      </c>
      <c r="M27" s="2">
        <v>-115.8578989</v>
      </c>
      <c r="N27" s="2">
        <v>-999</v>
      </c>
      <c r="O27" s="2">
        <v>-999</v>
      </c>
      <c r="Q27" s="2">
        <v>51032.13076</v>
      </c>
      <c r="R27" s="1" t="s">
        <v>47</v>
      </c>
      <c r="S27" s="2">
        <v>51700</v>
      </c>
      <c r="T27" s="1" t="s">
        <v>48</v>
      </c>
      <c r="U27" s="1" t="s">
        <v>118</v>
      </c>
      <c r="V27" s="1" t="s">
        <v>49</v>
      </c>
      <c r="W27" s="1" t="s">
        <v>50</v>
      </c>
      <c r="X27" s="2">
        <v>51415.4</v>
      </c>
      <c r="Y27" s="2">
        <v>0.97833172599999996</v>
      </c>
      <c r="AA27" s="1" t="s">
        <v>51</v>
      </c>
      <c r="AC27" s="5">
        <v>44521</v>
      </c>
      <c r="AD27" s="5">
        <v>44928</v>
      </c>
      <c r="AE27" s="1">
        <v>0</v>
      </c>
      <c r="AF27" s="5">
        <v>23163</v>
      </c>
      <c r="AG27" s="5">
        <v>44926</v>
      </c>
      <c r="AH27" s="1">
        <v>40</v>
      </c>
      <c r="AI27" s="1" t="s">
        <v>91</v>
      </c>
      <c r="AJ27" s="1">
        <v>0</v>
      </c>
      <c r="AK27" s="1">
        <v>1243</v>
      </c>
      <c r="AL27" s="1">
        <f t="shared" si="0"/>
        <v>-1.2192791842561062</v>
      </c>
      <c r="AM27">
        <v>82020814</v>
      </c>
      <c r="AN27" s="2">
        <v>156.336149326434</v>
      </c>
      <c r="AO27">
        <v>82020728</v>
      </c>
      <c r="AP27" s="2">
        <v>51077.226015300002</v>
      </c>
      <c r="AQ27" s="1">
        <v>1</v>
      </c>
      <c r="AR27" s="2">
        <v>1</v>
      </c>
      <c r="AS27" s="4">
        <v>0.25280000000000002</v>
      </c>
      <c r="AT27" s="4">
        <v>-0.59840000000000004</v>
      </c>
      <c r="AU27" s="4">
        <v>-23.86</v>
      </c>
      <c r="AV27" s="4">
        <v>-0.18640000000000001</v>
      </c>
      <c r="AX27" s="1">
        <v>-1.2192791842561062</v>
      </c>
      <c r="AY27" s="1" t="s">
        <v>116</v>
      </c>
      <c r="AZ27" s="4">
        <v>0.25280000000000002</v>
      </c>
      <c r="BA27" s="4">
        <v>-0.59840000000000004</v>
      </c>
      <c r="BB27" s="4">
        <v>-23.86</v>
      </c>
      <c r="BC27" s="4">
        <v>-0.18640000000000001</v>
      </c>
      <c r="BD27" s="1">
        <v>-1.2192791842561062</v>
      </c>
    </row>
    <row r="28" spans="1:56" x14ac:dyDescent="0.25">
      <c r="A28" s="1">
        <v>722</v>
      </c>
      <c r="B28" s="1" t="s">
        <v>43</v>
      </c>
      <c r="C28" s="1">
        <v>-0.12550617040560996</v>
      </c>
      <c r="D28" s="1" t="s">
        <v>119</v>
      </c>
      <c r="E28" s="1" t="s">
        <v>120</v>
      </c>
      <c r="F28" s="2">
        <v>59.149459999999998</v>
      </c>
      <c r="G28" s="2">
        <v>-117.63630000000001</v>
      </c>
      <c r="H28" s="1" t="s">
        <v>46</v>
      </c>
      <c r="I28" s="2">
        <v>59.148685469999997</v>
      </c>
      <c r="J28" s="2">
        <v>-117.6371939</v>
      </c>
      <c r="K28" s="1" t="s">
        <v>46</v>
      </c>
      <c r="L28" s="2">
        <v>59.14916667</v>
      </c>
      <c r="M28" s="2">
        <v>-117.6371939</v>
      </c>
      <c r="N28" s="2">
        <v>-999</v>
      </c>
      <c r="O28" s="2">
        <v>-999</v>
      </c>
      <c r="Q28" s="2">
        <v>36833.946559999997</v>
      </c>
      <c r="R28" s="1" t="s">
        <v>47</v>
      </c>
      <c r="S28" s="2">
        <v>36900</v>
      </c>
      <c r="T28" s="1" t="s">
        <v>48</v>
      </c>
      <c r="U28" s="1" t="s">
        <v>121</v>
      </c>
      <c r="V28" s="1" t="s">
        <v>49</v>
      </c>
      <c r="W28" s="1" t="s">
        <v>50</v>
      </c>
      <c r="X28" s="2">
        <v>37058.5</v>
      </c>
      <c r="Y28" s="2">
        <v>0.97966487499999999</v>
      </c>
      <c r="AA28" s="1" t="s">
        <v>51</v>
      </c>
      <c r="AC28" s="5">
        <v>44635</v>
      </c>
      <c r="AD28" s="5">
        <v>44867</v>
      </c>
      <c r="AE28" s="1">
        <v>0</v>
      </c>
      <c r="AF28" s="5">
        <v>27273</v>
      </c>
      <c r="AG28" s="5">
        <v>44500</v>
      </c>
      <c r="AH28" s="1">
        <v>477</v>
      </c>
      <c r="AI28" s="1" t="s">
        <v>91</v>
      </c>
      <c r="AJ28" s="1">
        <v>0</v>
      </c>
      <c r="AK28" s="1">
        <v>937</v>
      </c>
      <c r="AL28" s="1">
        <f t="shared" si="0"/>
        <v>-0.12550617040560996</v>
      </c>
      <c r="AM28">
        <v>82025073</v>
      </c>
      <c r="AN28" s="2">
        <v>156.581702341571</v>
      </c>
      <c r="AO28">
        <v>82025069</v>
      </c>
      <c r="AP28" s="2">
        <v>36853.7462744</v>
      </c>
      <c r="AQ28" s="1">
        <v>1</v>
      </c>
      <c r="AR28" s="2">
        <v>1</v>
      </c>
      <c r="AS28" s="4">
        <v>-2.6380000000000001E-2</v>
      </c>
      <c r="AT28" s="4">
        <v>-1.5169999999999999</v>
      </c>
      <c r="AU28" s="4">
        <v>-20.16</v>
      </c>
      <c r="AV28" s="4">
        <v>-0.46960000000000002</v>
      </c>
      <c r="AX28" s="1">
        <v>-0.12550617040560996</v>
      </c>
      <c r="AY28" s="1" t="s">
        <v>119</v>
      </c>
      <c r="AZ28" s="4">
        <v>-2.6380000000000001E-2</v>
      </c>
      <c r="BA28" s="4">
        <v>-1.5169999999999999</v>
      </c>
      <c r="BB28" s="4">
        <v>-20.16</v>
      </c>
      <c r="BC28" s="4">
        <v>-0.46960000000000002</v>
      </c>
      <c r="BD28" s="1">
        <v>-0.12550617040560996</v>
      </c>
    </row>
    <row r="29" spans="1:56" x14ac:dyDescent="0.25">
      <c r="A29" s="1">
        <v>727</v>
      </c>
      <c r="B29" s="1" t="s">
        <v>43</v>
      </c>
      <c r="C29" s="1">
        <v>3.4730696166459194</v>
      </c>
      <c r="D29" s="1" t="s">
        <v>122</v>
      </c>
      <c r="E29" s="1" t="s">
        <v>123</v>
      </c>
      <c r="F29" s="2">
        <v>62.89414</v>
      </c>
      <c r="G29" s="2">
        <v>-108.46599999999999</v>
      </c>
      <c r="H29" s="1" t="s">
        <v>46</v>
      </c>
      <c r="I29" s="2">
        <v>62.895062129999999</v>
      </c>
      <c r="J29" s="2">
        <v>-108.4657972</v>
      </c>
      <c r="K29" s="1" t="s">
        <v>46</v>
      </c>
      <c r="L29" s="2">
        <v>62.895000000000003</v>
      </c>
      <c r="M29" s="2">
        <v>-108.4658333</v>
      </c>
      <c r="N29" s="2">
        <v>-999</v>
      </c>
      <c r="O29" s="2">
        <v>-999</v>
      </c>
      <c r="Q29" s="2">
        <v>26802.782179999998</v>
      </c>
      <c r="R29" s="1" t="s">
        <v>47</v>
      </c>
      <c r="S29" s="2">
        <v>26600</v>
      </c>
      <c r="T29" s="1" t="s">
        <v>48</v>
      </c>
      <c r="V29" s="1" t="s">
        <v>49</v>
      </c>
      <c r="W29" s="1" t="s">
        <v>50</v>
      </c>
      <c r="X29" s="2">
        <v>26615.8</v>
      </c>
      <c r="Y29" s="2">
        <v>0.98085970300000003</v>
      </c>
      <c r="AA29" s="1" t="s">
        <v>51</v>
      </c>
      <c r="AC29" s="5">
        <v>44521</v>
      </c>
      <c r="AD29" s="5">
        <v>44928</v>
      </c>
      <c r="AE29" s="1">
        <v>0</v>
      </c>
      <c r="AF29" s="5">
        <v>22920</v>
      </c>
      <c r="AG29" s="5">
        <v>44926</v>
      </c>
      <c r="AH29" s="1">
        <v>297</v>
      </c>
      <c r="AI29" s="1" t="s">
        <v>91</v>
      </c>
      <c r="AJ29" s="1">
        <v>0</v>
      </c>
      <c r="AK29" s="1">
        <v>623</v>
      </c>
      <c r="AL29" s="1">
        <f>100*(AP29-S29)/AP29</f>
        <v>0.4662281389335966</v>
      </c>
      <c r="AM29">
        <v>82013504</v>
      </c>
      <c r="AN29" s="2">
        <v>112.965418</v>
      </c>
      <c r="AO29">
        <v>82013499</v>
      </c>
      <c r="AP29" s="2">
        <v>26724.597593999999</v>
      </c>
      <c r="AQ29" s="1">
        <v>1</v>
      </c>
      <c r="AR29" s="2">
        <v>1</v>
      </c>
      <c r="AS29" s="4">
        <v>-2.5299999999999998</v>
      </c>
      <c r="AT29" s="4">
        <v>-16.420000000000002</v>
      </c>
      <c r="AU29" s="4">
        <v>18.329999999999998</v>
      </c>
      <c r="AV29" s="4">
        <v>-1.8480000000000001</v>
      </c>
      <c r="AX29" s="1">
        <v>3.4730696166459194</v>
      </c>
      <c r="AY29" s="3" t="s">
        <v>122</v>
      </c>
      <c r="AZ29" s="4">
        <v>-2.5299999999999998</v>
      </c>
      <c r="BA29" s="4">
        <v>-16.420000000000002</v>
      </c>
      <c r="BB29" s="4">
        <v>18.329999999999998</v>
      </c>
      <c r="BC29" s="4">
        <v>-1.8480000000000001</v>
      </c>
      <c r="BD29" s="1">
        <v>0.4662281389335966</v>
      </c>
    </row>
    <row r="30" spans="1:56" x14ac:dyDescent="0.25">
      <c r="A30" s="1">
        <v>740</v>
      </c>
      <c r="B30" s="1" t="s">
        <v>43</v>
      </c>
      <c r="C30" s="1">
        <v>3.2645506310871228</v>
      </c>
      <c r="D30" s="1" t="s">
        <v>124</v>
      </c>
      <c r="E30" s="1" t="s">
        <v>125</v>
      </c>
      <c r="F30" s="2">
        <v>58.538609999999998</v>
      </c>
      <c r="G30" s="2">
        <v>-133.69999999999999</v>
      </c>
      <c r="H30" s="1" t="s">
        <v>46</v>
      </c>
      <c r="I30" s="2">
        <v>58.539948320000001</v>
      </c>
      <c r="J30" s="2">
        <v>-133.7015078</v>
      </c>
      <c r="K30" s="1" t="s">
        <v>46</v>
      </c>
      <c r="L30" s="2">
        <v>58.539636909999999</v>
      </c>
      <c r="M30" s="2">
        <v>-133.70119639999999</v>
      </c>
      <c r="N30" s="2">
        <v>-999</v>
      </c>
      <c r="O30" s="2">
        <v>-999</v>
      </c>
      <c r="Q30" s="2">
        <v>16913.069009999999</v>
      </c>
      <c r="R30" s="1" t="s">
        <v>47</v>
      </c>
      <c r="S30" s="2">
        <v>16700</v>
      </c>
      <c r="T30" s="1" t="s">
        <v>48</v>
      </c>
      <c r="V30" s="1" t="s">
        <v>49</v>
      </c>
      <c r="W30" s="1" t="s">
        <v>50</v>
      </c>
      <c r="X30" s="2">
        <v>16854.599999999999</v>
      </c>
      <c r="Y30" s="2">
        <v>0.98823392300000001</v>
      </c>
      <c r="AA30" s="1" t="s">
        <v>51</v>
      </c>
      <c r="AC30" s="5"/>
      <c r="AD30" s="5"/>
      <c r="AE30" s="1">
        <v>-1</v>
      </c>
      <c r="AF30" s="5">
        <v>32143</v>
      </c>
      <c r="AG30" s="5">
        <v>43100</v>
      </c>
      <c r="AH30" s="1">
        <v>10</v>
      </c>
      <c r="AI30" s="1" t="s">
        <v>126</v>
      </c>
      <c r="AJ30" s="1">
        <v>0</v>
      </c>
      <c r="AK30" s="1">
        <v>357</v>
      </c>
      <c r="AL30" s="1">
        <f t="shared" si="0"/>
        <v>3.2645506310871228</v>
      </c>
      <c r="AM30">
        <v>78000318</v>
      </c>
      <c r="AN30" s="2">
        <v>135.298251019579</v>
      </c>
      <c r="AO30">
        <v>78000314</v>
      </c>
      <c r="AP30" s="2">
        <v>17263.578252800002</v>
      </c>
      <c r="AQ30" s="1">
        <v>1</v>
      </c>
      <c r="AR30" s="2">
        <v>1</v>
      </c>
      <c r="AS30" s="4">
        <v>0.51529999999999998</v>
      </c>
      <c r="AT30" s="4">
        <v>0.60060000000000002</v>
      </c>
      <c r="AU30" s="4">
        <v>-39.19</v>
      </c>
      <c r="AV30" s="4">
        <v>0.53410000000000002</v>
      </c>
      <c r="AX30" s="1">
        <v>3.2645506310871228</v>
      </c>
      <c r="AY30" s="1" t="s">
        <v>124</v>
      </c>
      <c r="AZ30" s="4">
        <v>0.51529999999999998</v>
      </c>
      <c r="BA30" s="4">
        <v>0.60060000000000002</v>
      </c>
      <c r="BB30" s="4">
        <v>-39.19</v>
      </c>
      <c r="BC30" s="4">
        <v>0.53410000000000002</v>
      </c>
      <c r="BD30" s="1">
        <v>3.2645506310871228</v>
      </c>
    </row>
    <row r="31" spans="1:56" x14ac:dyDescent="0.25">
      <c r="A31" s="1">
        <v>746</v>
      </c>
      <c r="B31" s="1" t="s">
        <v>43</v>
      </c>
      <c r="C31" s="1">
        <v>0.80248908424920096</v>
      </c>
      <c r="D31" s="1" t="s">
        <v>127</v>
      </c>
      <c r="E31" s="1" t="s">
        <v>128</v>
      </c>
      <c r="F31" s="2">
        <v>55.262250000000002</v>
      </c>
      <c r="G31" s="2">
        <v>-129.08500000000001</v>
      </c>
      <c r="H31" s="1" t="s">
        <v>46</v>
      </c>
      <c r="I31" s="2">
        <v>55.263016110000002</v>
      </c>
      <c r="J31" s="2">
        <v>-129.08660169999999</v>
      </c>
      <c r="K31" s="1" t="s">
        <v>46</v>
      </c>
      <c r="L31" s="2">
        <v>55.263016110000002</v>
      </c>
      <c r="M31" s="2">
        <v>-129.08666669999999</v>
      </c>
      <c r="N31" s="2">
        <v>-999</v>
      </c>
      <c r="O31" s="2">
        <v>-999</v>
      </c>
      <c r="Q31" s="2">
        <v>18424.28241</v>
      </c>
      <c r="R31" s="1" t="s">
        <v>47</v>
      </c>
      <c r="S31" s="2">
        <v>18400</v>
      </c>
      <c r="T31" s="1" t="s">
        <v>48</v>
      </c>
      <c r="V31" s="1" t="s">
        <v>49</v>
      </c>
      <c r="W31" s="1" t="s">
        <v>50</v>
      </c>
      <c r="X31" s="2">
        <v>18293.900000000001</v>
      </c>
      <c r="Y31" s="2">
        <v>0.98679130199999998</v>
      </c>
      <c r="AA31" s="1" t="s">
        <v>51</v>
      </c>
      <c r="AC31" s="5">
        <v>44521</v>
      </c>
      <c r="AD31" s="5">
        <v>44928</v>
      </c>
      <c r="AE31" s="1">
        <v>4</v>
      </c>
      <c r="AF31" s="5">
        <v>20486</v>
      </c>
      <c r="AG31" s="5">
        <v>44196</v>
      </c>
      <c r="AH31" s="1">
        <v>135</v>
      </c>
      <c r="AI31" s="1" t="s">
        <v>129</v>
      </c>
      <c r="AJ31" s="1">
        <v>0</v>
      </c>
      <c r="AK31" s="1">
        <v>375</v>
      </c>
      <c r="AL31" s="1">
        <f t="shared" si="0"/>
        <v>0.80248908424920096</v>
      </c>
      <c r="AM31">
        <v>78003054</v>
      </c>
      <c r="AN31" s="2">
        <v>128.249374082326</v>
      </c>
      <c r="AO31">
        <v>78003052</v>
      </c>
      <c r="AP31" s="2">
        <v>18548.852516700001</v>
      </c>
      <c r="AQ31" s="1">
        <v>1</v>
      </c>
      <c r="AR31" s="2">
        <v>1</v>
      </c>
      <c r="AS31" s="4">
        <v>0.44269999999999998</v>
      </c>
      <c r="AT31" s="4">
        <v>0.51870000000000005</v>
      </c>
      <c r="AU31" s="4">
        <v>-42.24</v>
      </c>
      <c r="AV31" s="4">
        <v>0.53610000000000002</v>
      </c>
      <c r="AX31" s="1">
        <v>0.80248908424920096</v>
      </c>
      <c r="AY31" s="1" t="s">
        <v>127</v>
      </c>
      <c r="AZ31" s="4">
        <v>0.44269999999999998</v>
      </c>
      <c r="BA31" s="4">
        <v>0.51870000000000005</v>
      </c>
      <c r="BB31" s="4">
        <v>-42.24</v>
      </c>
      <c r="BC31" s="4">
        <v>0.53610000000000002</v>
      </c>
      <c r="BD31" s="1">
        <v>0.80248908424920096</v>
      </c>
    </row>
    <row r="32" spans="1:56" x14ac:dyDescent="0.25">
      <c r="A32" s="1">
        <v>801</v>
      </c>
      <c r="B32" s="1" t="s">
        <v>43</v>
      </c>
      <c r="C32" s="1">
        <v>3.7794319136890362</v>
      </c>
      <c r="D32" s="1" t="s">
        <v>130</v>
      </c>
      <c r="E32" s="1" t="s">
        <v>131</v>
      </c>
      <c r="F32" s="2">
        <v>54.41686</v>
      </c>
      <c r="G32" s="2">
        <v>-124.2706</v>
      </c>
      <c r="H32" s="1" t="s">
        <v>46</v>
      </c>
      <c r="I32" s="2">
        <v>54.408171439999997</v>
      </c>
      <c r="J32" s="2">
        <v>-124.2683138</v>
      </c>
      <c r="K32" s="1" t="s">
        <v>46</v>
      </c>
      <c r="L32" s="2">
        <v>54.408242610000002</v>
      </c>
      <c r="M32" s="2">
        <v>-124.26824259999999</v>
      </c>
      <c r="N32" s="2">
        <v>-999</v>
      </c>
      <c r="O32" s="2">
        <v>-999</v>
      </c>
      <c r="Q32" s="2">
        <v>14704.975850000001</v>
      </c>
      <c r="R32" s="1" t="s">
        <v>47</v>
      </c>
      <c r="S32" s="2">
        <v>14200</v>
      </c>
      <c r="T32" s="1" t="s">
        <v>48</v>
      </c>
      <c r="V32" s="1" t="s">
        <v>49</v>
      </c>
      <c r="W32" s="1" t="s">
        <v>50</v>
      </c>
      <c r="X32" s="2">
        <v>14239.3</v>
      </c>
      <c r="Y32" s="2">
        <v>0.96168459299999998</v>
      </c>
      <c r="AA32" s="1" t="s">
        <v>51</v>
      </c>
      <c r="AC32" s="5">
        <v>44521</v>
      </c>
      <c r="AD32" s="5">
        <v>44928</v>
      </c>
      <c r="AE32" s="1">
        <v>0</v>
      </c>
      <c r="AF32" s="5">
        <v>18295</v>
      </c>
      <c r="AG32" s="5">
        <v>44561</v>
      </c>
      <c r="AH32" s="1">
        <v>3</v>
      </c>
      <c r="AI32" s="1" t="s">
        <v>129</v>
      </c>
      <c r="AJ32" s="1">
        <v>0</v>
      </c>
      <c r="AK32" s="1">
        <v>309</v>
      </c>
      <c r="AL32" s="1">
        <f t="shared" si="0"/>
        <v>3.7794319136890362</v>
      </c>
      <c r="AM32">
        <v>78004014</v>
      </c>
      <c r="AN32" s="2">
        <v>142.97344425473699</v>
      </c>
      <c r="AO32">
        <v>78004012</v>
      </c>
      <c r="AP32" s="2">
        <v>14757.759471199999</v>
      </c>
      <c r="AQ32" s="1">
        <v>1</v>
      </c>
      <c r="AR32" s="2">
        <v>1</v>
      </c>
      <c r="AS32" s="4">
        <v>0.22550000000000001</v>
      </c>
      <c r="AT32" s="4">
        <v>-0.99939999999999996</v>
      </c>
      <c r="AU32" s="4">
        <v>-9.5690000000000008</v>
      </c>
      <c r="AV32" s="4">
        <v>0.1066</v>
      </c>
      <c r="AX32" s="1">
        <v>3.7794319136890362</v>
      </c>
      <c r="AY32" s="1" t="s">
        <v>130</v>
      </c>
      <c r="AZ32" s="4">
        <v>0.22550000000000001</v>
      </c>
      <c r="BA32" s="4">
        <v>-0.99939999999999996</v>
      </c>
      <c r="BB32" s="4">
        <v>-9.5690000000000008</v>
      </c>
      <c r="BC32" s="4">
        <v>0.1066</v>
      </c>
      <c r="BD32" s="1">
        <v>3.7794319136890362</v>
      </c>
    </row>
    <row r="33" spans="1:56" x14ac:dyDescent="0.25">
      <c r="A33" s="1">
        <v>821</v>
      </c>
      <c r="B33" s="1" t="s">
        <v>43</v>
      </c>
      <c r="C33" s="1">
        <v>35.289600310771036</v>
      </c>
      <c r="D33" s="1" t="s">
        <v>132</v>
      </c>
      <c r="E33" s="1" t="s">
        <v>133</v>
      </c>
      <c r="F33" s="2">
        <v>51.655720000000002</v>
      </c>
      <c r="G33" s="2">
        <v>-120.066</v>
      </c>
      <c r="H33" s="1" t="s">
        <v>46</v>
      </c>
      <c r="I33" s="2">
        <v>51.65603642</v>
      </c>
      <c r="J33" s="2">
        <v>-120.06641020000001</v>
      </c>
      <c r="K33" s="1" t="s">
        <v>46</v>
      </c>
      <c r="L33" s="2">
        <v>51.65583333</v>
      </c>
      <c r="M33" s="2">
        <v>-120.06641020000001</v>
      </c>
      <c r="N33" s="2">
        <v>-999</v>
      </c>
      <c r="O33" s="2">
        <v>-999</v>
      </c>
      <c r="Q33" s="2">
        <v>10396.85175</v>
      </c>
      <c r="R33" s="1" t="s">
        <v>47</v>
      </c>
      <c r="S33" s="2">
        <v>10300</v>
      </c>
      <c r="T33" s="1" t="s">
        <v>48</v>
      </c>
      <c r="V33" s="1" t="s">
        <v>49</v>
      </c>
      <c r="W33" s="1" t="s">
        <v>50</v>
      </c>
      <c r="X33" s="2">
        <v>10305</v>
      </c>
      <c r="Y33" s="2">
        <v>0.98357094599999995</v>
      </c>
      <c r="AA33" s="1" t="s">
        <v>51</v>
      </c>
      <c r="AC33" s="5">
        <v>44521</v>
      </c>
      <c r="AD33" s="5">
        <v>44928</v>
      </c>
      <c r="AE33" s="1">
        <v>8</v>
      </c>
      <c r="AF33" s="5">
        <v>18354</v>
      </c>
      <c r="AG33" s="5">
        <v>44561</v>
      </c>
      <c r="AH33" s="1">
        <v>40</v>
      </c>
      <c r="AI33" s="1" t="s">
        <v>129</v>
      </c>
      <c r="AJ33" s="1">
        <v>0</v>
      </c>
      <c r="AK33" s="1">
        <v>227</v>
      </c>
      <c r="AL33" s="1">
        <f t="shared" si="0"/>
        <v>-0.62219016185191478</v>
      </c>
      <c r="AM33">
        <v>78008451</v>
      </c>
      <c r="AN33" s="2">
        <v>118.95446200000001</v>
      </c>
      <c r="AO33">
        <v>78008447</v>
      </c>
      <c r="AP33" s="2">
        <v>10236.310681999999</v>
      </c>
      <c r="AQ33" s="1">
        <v>1</v>
      </c>
      <c r="AR33" s="2">
        <v>1</v>
      </c>
      <c r="AS33" s="4">
        <v>0.66269999999999996</v>
      </c>
      <c r="AT33" s="4">
        <v>0.76980000000000004</v>
      </c>
      <c r="AU33" s="4">
        <v>-21.79</v>
      </c>
      <c r="AV33" s="4">
        <v>0.76380000000000003</v>
      </c>
      <c r="AX33" s="1">
        <v>35.289600310771036</v>
      </c>
      <c r="AY33" s="1" t="s">
        <v>132</v>
      </c>
      <c r="AZ33" s="4">
        <v>0.66269999999999996</v>
      </c>
      <c r="BA33" s="4">
        <v>0.76980000000000004</v>
      </c>
      <c r="BB33" s="4">
        <v>-21.79</v>
      </c>
      <c r="BC33" s="4">
        <v>0.76380000000000003</v>
      </c>
      <c r="BD33" s="1">
        <v>-0.62219016185191478</v>
      </c>
    </row>
    <row r="34" spans="1:56" x14ac:dyDescent="0.25">
      <c r="A34" s="1">
        <v>951</v>
      </c>
      <c r="B34" s="1" t="s">
        <v>43</v>
      </c>
      <c r="C34" s="1">
        <v>1.7400264839931827</v>
      </c>
      <c r="D34" s="1" t="s">
        <v>134</v>
      </c>
      <c r="E34" s="1" t="s">
        <v>135</v>
      </c>
      <c r="F34" s="2">
        <v>62.829720000000002</v>
      </c>
      <c r="G34" s="2">
        <v>-136.5806</v>
      </c>
      <c r="H34" s="1" t="s">
        <v>46</v>
      </c>
      <c r="I34" s="2">
        <v>62.828028439999997</v>
      </c>
      <c r="J34" s="2">
        <v>-136.57990240000001</v>
      </c>
      <c r="K34" s="1" t="s">
        <v>46</v>
      </c>
      <c r="L34" s="2">
        <v>62.828646339999999</v>
      </c>
      <c r="M34" s="2">
        <v>-136.58052029999999</v>
      </c>
      <c r="N34" s="2">
        <v>-999</v>
      </c>
      <c r="O34" s="2">
        <v>-999</v>
      </c>
      <c r="Q34" s="2">
        <v>48858.589310000003</v>
      </c>
      <c r="R34" s="1" t="s">
        <v>47</v>
      </c>
      <c r="S34" s="2">
        <v>48900</v>
      </c>
      <c r="T34" s="1" t="s">
        <v>48</v>
      </c>
      <c r="V34" s="1" t="s">
        <v>49</v>
      </c>
      <c r="W34" s="1" t="s">
        <v>50</v>
      </c>
      <c r="X34" s="2">
        <v>48882.6</v>
      </c>
      <c r="Y34" s="2">
        <v>0.99422665600000004</v>
      </c>
      <c r="AA34" s="1" t="s">
        <v>51</v>
      </c>
      <c r="AC34" s="5">
        <v>44521</v>
      </c>
      <c r="AD34" s="5">
        <v>44928</v>
      </c>
      <c r="AE34" s="1">
        <v>1</v>
      </c>
      <c r="AF34" s="5">
        <v>18902</v>
      </c>
      <c r="AG34" s="5">
        <v>43830</v>
      </c>
      <c r="AH34" s="1">
        <v>135</v>
      </c>
      <c r="AI34" s="1" t="s">
        <v>91</v>
      </c>
      <c r="AJ34" s="1">
        <v>0</v>
      </c>
      <c r="AK34" s="1">
        <v>975</v>
      </c>
      <c r="AL34" s="1">
        <f t="shared" si="0"/>
        <v>1.7400264839931827</v>
      </c>
      <c r="AM34">
        <v>81018494</v>
      </c>
      <c r="AN34" s="2">
        <v>181.195486955376</v>
      </c>
      <c r="AO34">
        <v>81018490</v>
      </c>
      <c r="AP34" s="2">
        <v>49765.940545500001</v>
      </c>
      <c r="AQ34" s="1">
        <v>1</v>
      </c>
      <c r="AR34" s="2">
        <v>1</v>
      </c>
      <c r="AS34" s="4">
        <v>0.66859999999999997</v>
      </c>
      <c r="AT34" s="4">
        <v>0.59419999999999995</v>
      </c>
      <c r="AU34" s="4">
        <v>-27.93</v>
      </c>
      <c r="AV34" s="4">
        <v>0.52139999999999997</v>
      </c>
      <c r="AX34" s="1">
        <v>1.7400264839931827</v>
      </c>
      <c r="AY34" s="1" t="s">
        <v>134</v>
      </c>
      <c r="AZ34" s="4">
        <v>0.66859999999999997</v>
      </c>
      <c r="BA34" s="4">
        <v>0.59419999999999995</v>
      </c>
      <c r="BB34" s="4">
        <v>-27.93</v>
      </c>
      <c r="BC34" s="4">
        <v>0.52139999999999997</v>
      </c>
      <c r="BD34" s="1">
        <v>1.7400264839931827</v>
      </c>
    </row>
    <row r="35" spans="1:56" x14ac:dyDescent="0.25">
      <c r="A35" s="1">
        <v>965</v>
      </c>
      <c r="B35" s="1" t="s">
        <v>43</v>
      </c>
      <c r="C35" s="1">
        <v>-4.2218624063529268E-3</v>
      </c>
      <c r="D35" s="1" t="s">
        <v>136</v>
      </c>
      <c r="E35" s="1" t="s">
        <v>137</v>
      </c>
      <c r="F35" s="2">
        <v>67.634439999999998</v>
      </c>
      <c r="G35" s="2">
        <v>-139.69640000000001</v>
      </c>
      <c r="H35" s="1" t="s">
        <v>46</v>
      </c>
      <c r="I35" s="2">
        <v>67.634385969999997</v>
      </c>
      <c r="J35" s="2">
        <v>-139.69810820000001</v>
      </c>
      <c r="K35" s="1" t="s">
        <v>46</v>
      </c>
      <c r="L35" s="2">
        <v>67.634385969999997</v>
      </c>
      <c r="M35" s="2">
        <v>-139.69749999999999</v>
      </c>
      <c r="N35" s="2">
        <v>-999</v>
      </c>
      <c r="O35" s="2">
        <v>-999</v>
      </c>
      <c r="Q35" s="2">
        <v>13852.33699</v>
      </c>
      <c r="R35" s="1" t="s">
        <v>47</v>
      </c>
      <c r="S35" s="2">
        <v>13900</v>
      </c>
      <c r="T35" s="1" t="s">
        <v>48</v>
      </c>
      <c r="V35" s="1" t="s">
        <v>49</v>
      </c>
      <c r="W35" s="1" t="s">
        <v>50</v>
      </c>
      <c r="X35" s="2">
        <v>13864.1</v>
      </c>
      <c r="Y35" s="2">
        <v>0.99649087800000002</v>
      </c>
      <c r="AA35" s="1" t="s">
        <v>51</v>
      </c>
      <c r="AC35" s="5">
        <v>44521</v>
      </c>
      <c r="AD35" s="5">
        <v>44845</v>
      </c>
      <c r="AE35" s="1">
        <v>0</v>
      </c>
      <c r="AF35" s="5">
        <v>27912</v>
      </c>
      <c r="AG35" s="5">
        <v>44561</v>
      </c>
      <c r="AH35" s="1">
        <v>207</v>
      </c>
      <c r="AI35" s="1" t="s">
        <v>91</v>
      </c>
      <c r="AJ35" s="1">
        <v>0</v>
      </c>
      <c r="AK35" s="1">
        <v>311</v>
      </c>
      <c r="AL35" s="1">
        <f t="shared" si="0"/>
        <v>-4.2218624063529268E-3</v>
      </c>
      <c r="AM35">
        <v>81003610</v>
      </c>
      <c r="AN35" s="2">
        <v>192.10934249837999</v>
      </c>
      <c r="AO35">
        <v>81003296</v>
      </c>
      <c r="AP35" s="2">
        <v>13899.413185900001</v>
      </c>
      <c r="AQ35" s="1">
        <v>1</v>
      </c>
      <c r="AR35" s="2">
        <v>1</v>
      </c>
      <c r="AS35" s="4">
        <v>0.71030000000000004</v>
      </c>
      <c r="AT35" s="4">
        <v>0.40749999999999997</v>
      </c>
      <c r="AU35" s="4">
        <v>6.3849999999999998</v>
      </c>
      <c r="AV35" s="4">
        <v>0.72060000000000002</v>
      </c>
      <c r="AX35" s="1">
        <v>-4.2218624063529268E-3</v>
      </c>
      <c r="AY35" s="1" t="s">
        <v>136</v>
      </c>
      <c r="AZ35" s="4">
        <v>0.71030000000000004</v>
      </c>
      <c r="BA35" s="4">
        <v>0.40749999999999997</v>
      </c>
      <c r="BB35" s="4">
        <v>6.3849999999999998</v>
      </c>
      <c r="BC35" s="4">
        <v>0.72060000000000002</v>
      </c>
      <c r="BD35" s="1">
        <v>-4.2218624063529268E-3</v>
      </c>
    </row>
    <row r="36" spans="1:56" x14ac:dyDescent="0.25">
      <c r="A36" s="1">
        <v>970</v>
      </c>
      <c r="B36" s="1" t="s">
        <v>43</v>
      </c>
      <c r="C36" s="1">
        <v>0.70868233089805777</v>
      </c>
      <c r="D36" s="1" t="s">
        <v>138</v>
      </c>
      <c r="E36" s="1" t="s">
        <v>139</v>
      </c>
      <c r="F36" s="2">
        <v>60.473889999999997</v>
      </c>
      <c r="G36" s="2">
        <v>-129.1189</v>
      </c>
      <c r="H36" s="1" t="s">
        <v>46</v>
      </c>
      <c r="I36" s="2">
        <v>60.473756029999997</v>
      </c>
      <c r="J36" s="2">
        <v>-129.11900829999999</v>
      </c>
      <c r="K36" s="1" t="s">
        <v>46</v>
      </c>
      <c r="L36" s="2">
        <v>60.474040539999997</v>
      </c>
      <c r="M36" s="2">
        <v>-129.11929280000001</v>
      </c>
      <c r="N36" s="2">
        <v>-999</v>
      </c>
      <c r="O36" s="2">
        <v>-999</v>
      </c>
      <c r="Q36" s="2">
        <v>12890.205620000001</v>
      </c>
      <c r="R36" s="1" t="s">
        <v>47</v>
      </c>
      <c r="S36" s="2">
        <v>12800</v>
      </c>
      <c r="T36" s="1" t="s">
        <v>48</v>
      </c>
      <c r="V36" s="1" t="s">
        <v>49</v>
      </c>
      <c r="W36" s="1" t="s">
        <v>50</v>
      </c>
      <c r="X36" s="2">
        <v>12793.2</v>
      </c>
      <c r="Y36" s="2">
        <v>0.98605673900000002</v>
      </c>
      <c r="AA36" s="1" t="s">
        <v>51</v>
      </c>
      <c r="AC36" s="5">
        <v>44521</v>
      </c>
      <c r="AD36" s="5">
        <v>44928</v>
      </c>
      <c r="AE36" s="1">
        <v>0</v>
      </c>
      <c r="AF36" s="5">
        <v>22981</v>
      </c>
      <c r="AG36" s="5">
        <v>44561</v>
      </c>
      <c r="AH36" s="1">
        <v>99</v>
      </c>
      <c r="AI36" s="1" t="s">
        <v>91</v>
      </c>
      <c r="AJ36" s="1">
        <v>0</v>
      </c>
      <c r="AK36" s="1">
        <v>277</v>
      </c>
      <c r="AL36" s="1">
        <f t="shared" si="0"/>
        <v>0.70868233089805777</v>
      </c>
      <c r="AM36">
        <v>82020893</v>
      </c>
      <c r="AN36" s="2">
        <v>115.874792579927</v>
      </c>
      <c r="AO36">
        <v>82020892</v>
      </c>
      <c r="AP36" s="2">
        <v>12891.3587819</v>
      </c>
      <c r="AQ36" s="1">
        <v>1</v>
      </c>
      <c r="AR36" s="2">
        <v>1</v>
      </c>
      <c r="AS36" s="4">
        <v>0.65890000000000004</v>
      </c>
      <c r="AT36" s="4">
        <v>0.50329999999999997</v>
      </c>
      <c r="AU36" s="4">
        <v>-4.1550000000000002</v>
      </c>
      <c r="AV36" s="4">
        <v>0.60829999999999995</v>
      </c>
      <c r="AX36" s="1">
        <v>0.70868233089805777</v>
      </c>
      <c r="AY36" s="1" t="s">
        <v>138</v>
      </c>
      <c r="AZ36" s="4">
        <v>0.65890000000000004</v>
      </c>
      <c r="BA36" s="4">
        <v>0.50329999999999997</v>
      </c>
      <c r="BB36" s="4">
        <v>-4.1550000000000002</v>
      </c>
      <c r="BC36" s="4">
        <v>0.60829999999999995</v>
      </c>
      <c r="BD36" s="1">
        <v>0.70868233089805777</v>
      </c>
    </row>
    <row r="37" spans="1:56" x14ac:dyDescent="0.25">
      <c r="A37" s="1">
        <v>972</v>
      </c>
      <c r="B37" s="1" t="s">
        <v>43</v>
      </c>
      <c r="C37" s="1">
        <v>0.29259301658416886</v>
      </c>
      <c r="D37" s="1" t="s">
        <v>140</v>
      </c>
      <c r="E37" s="1" t="s">
        <v>141</v>
      </c>
      <c r="F37" s="2">
        <v>59.412500000000001</v>
      </c>
      <c r="G37" s="2">
        <v>-126.0972</v>
      </c>
      <c r="H37" s="1" t="s">
        <v>46</v>
      </c>
      <c r="I37" s="2">
        <v>59.413671569999998</v>
      </c>
      <c r="J37" s="2">
        <v>-126.0975024</v>
      </c>
      <c r="K37" s="1" t="s">
        <v>46</v>
      </c>
      <c r="L37" s="2">
        <v>59.413503640000002</v>
      </c>
      <c r="M37" s="2">
        <v>-126.0976703</v>
      </c>
      <c r="N37" s="2">
        <v>-999</v>
      </c>
      <c r="O37" s="2">
        <v>-999</v>
      </c>
      <c r="Q37" s="2">
        <v>104246.3821</v>
      </c>
      <c r="R37" s="1" t="s">
        <v>47</v>
      </c>
      <c r="S37" s="2">
        <v>104000</v>
      </c>
      <c r="T37" s="1" t="s">
        <v>48</v>
      </c>
      <c r="V37" s="1" t="s">
        <v>49</v>
      </c>
      <c r="W37" s="1" t="s">
        <v>50</v>
      </c>
      <c r="X37" s="2">
        <v>104343</v>
      </c>
      <c r="Y37" s="2">
        <v>0.99630806400000005</v>
      </c>
      <c r="AA37" s="1" t="s">
        <v>51</v>
      </c>
      <c r="AC37" s="5">
        <v>44521</v>
      </c>
      <c r="AD37" s="5">
        <v>44928</v>
      </c>
      <c r="AE37" s="1">
        <v>0</v>
      </c>
      <c r="AF37" s="5">
        <v>18264</v>
      </c>
      <c r="AG37" s="5">
        <v>43830</v>
      </c>
      <c r="AH37" s="1">
        <v>87</v>
      </c>
      <c r="AI37" s="1" t="s">
        <v>91</v>
      </c>
      <c r="AJ37" s="1">
        <v>0</v>
      </c>
      <c r="AK37" s="1">
        <v>2257</v>
      </c>
      <c r="AL37" s="1">
        <f t="shared" si="0"/>
        <v>0.29259301658416886</v>
      </c>
      <c r="AM37">
        <v>82025218</v>
      </c>
      <c r="AN37" s="2">
        <v>116.66455961544899</v>
      </c>
      <c r="AO37">
        <v>82025216</v>
      </c>
      <c r="AP37" s="2">
        <v>104305.189701</v>
      </c>
      <c r="AQ37" s="1">
        <v>1</v>
      </c>
      <c r="AR37" s="2">
        <v>1</v>
      </c>
      <c r="AS37" s="4">
        <v>0.77059999999999995</v>
      </c>
      <c r="AT37" s="4">
        <v>0.71840000000000004</v>
      </c>
      <c r="AU37" s="4">
        <v>-18.73</v>
      </c>
      <c r="AV37" s="4">
        <v>0.61739999999999995</v>
      </c>
      <c r="AX37" s="1">
        <v>0.29259301658416886</v>
      </c>
      <c r="AY37" s="1" t="s">
        <v>140</v>
      </c>
      <c r="AZ37" s="4">
        <v>0.77059999999999995</v>
      </c>
      <c r="BA37" s="4">
        <v>0.71840000000000004</v>
      </c>
      <c r="BB37" s="4">
        <v>-18.73</v>
      </c>
      <c r="BC37" s="4">
        <v>0.61739999999999995</v>
      </c>
      <c r="BD37" s="1">
        <v>0.29259301658416886</v>
      </c>
    </row>
    <row r="38" spans="1:56" x14ac:dyDescent="0.25">
      <c r="A38" s="1">
        <v>979</v>
      </c>
      <c r="B38" s="1" t="s">
        <v>43</v>
      </c>
      <c r="C38" s="1">
        <v>-0.1897404255955063</v>
      </c>
      <c r="D38" s="1" t="s">
        <v>142</v>
      </c>
      <c r="E38" s="1" t="s">
        <v>143</v>
      </c>
      <c r="F38" s="2">
        <v>58.788110000000003</v>
      </c>
      <c r="G38" s="2">
        <v>-122.66160000000001</v>
      </c>
      <c r="H38" s="1" t="s">
        <v>46</v>
      </c>
      <c r="I38" s="2">
        <v>58.78711156</v>
      </c>
      <c r="J38" s="2">
        <v>-122.66079550000001</v>
      </c>
      <c r="K38" s="1" t="s">
        <v>46</v>
      </c>
      <c r="L38" s="2">
        <v>58.787324699999999</v>
      </c>
      <c r="M38" s="2">
        <v>-122.6610086</v>
      </c>
      <c r="N38" s="2">
        <v>-999</v>
      </c>
      <c r="O38" s="2">
        <v>-999</v>
      </c>
      <c r="Q38" s="2">
        <v>20223.68749</v>
      </c>
      <c r="R38" s="1" t="s">
        <v>47</v>
      </c>
      <c r="S38" s="2">
        <v>20300</v>
      </c>
      <c r="T38" s="1" t="s">
        <v>48</v>
      </c>
      <c r="V38" s="1" t="s">
        <v>49</v>
      </c>
      <c r="W38" s="1" t="s">
        <v>50</v>
      </c>
      <c r="X38" s="2">
        <v>20255.8</v>
      </c>
      <c r="Y38" s="2">
        <v>0.99644675000000005</v>
      </c>
      <c r="AA38" s="1" t="s">
        <v>51</v>
      </c>
      <c r="AC38" s="5">
        <v>44521</v>
      </c>
      <c r="AD38" s="5">
        <v>44928</v>
      </c>
      <c r="AE38" s="1">
        <v>0</v>
      </c>
      <c r="AF38" s="5">
        <v>18264</v>
      </c>
      <c r="AG38" s="5">
        <v>44561</v>
      </c>
      <c r="AH38" s="1">
        <v>180</v>
      </c>
      <c r="AI38" s="1" t="s">
        <v>91</v>
      </c>
      <c r="AJ38" s="1">
        <v>0</v>
      </c>
      <c r="AK38" s="1">
        <v>417</v>
      </c>
      <c r="AL38" s="1">
        <f t="shared" si="0"/>
        <v>-0.1897404255955063</v>
      </c>
      <c r="AM38">
        <v>82025404</v>
      </c>
      <c r="AN38" s="2">
        <v>122.674438480465</v>
      </c>
      <c r="AO38">
        <v>82025401</v>
      </c>
      <c r="AP38" s="2">
        <v>20261.555638099999</v>
      </c>
      <c r="AQ38" s="1">
        <v>1</v>
      </c>
      <c r="AR38" s="2">
        <v>1</v>
      </c>
      <c r="AS38" s="4">
        <v>0.7218</v>
      </c>
      <c r="AT38" s="4">
        <v>0.59209999999999996</v>
      </c>
      <c r="AU38" s="4">
        <v>19.59</v>
      </c>
      <c r="AV38" s="4">
        <v>0.72719999999999996</v>
      </c>
      <c r="AX38" s="1">
        <v>-0.1897404255955063</v>
      </c>
      <c r="AY38" s="1" t="s">
        <v>142</v>
      </c>
      <c r="AZ38" s="4">
        <v>0.7218</v>
      </c>
      <c r="BA38" s="4">
        <v>0.59209999999999996</v>
      </c>
      <c r="BB38" s="4">
        <v>19.59</v>
      </c>
      <c r="BC38" s="4">
        <v>0.72719999999999996</v>
      </c>
      <c r="BD38" s="1">
        <v>-0.1897404255955063</v>
      </c>
    </row>
    <row r="39" spans="1:56" x14ac:dyDescent="0.25">
      <c r="A39" s="1">
        <v>984</v>
      </c>
      <c r="B39" s="1" t="s">
        <v>43</v>
      </c>
      <c r="C39" s="1">
        <v>20.85509621018949</v>
      </c>
      <c r="D39" s="1" t="s">
        <v>144</v>
      </c>
      <c r="E39" s="1" t="s">
        <v>145</v>
      </c>
      <c r="F39" s="2">
        <v>61.636110000000002</v>
      </c>
      <c r="G39" s="2">
        <v>-125.797</v>
      </c>
      <c r="H39" s="1" t="s">
        <v>46</v>
      </c>
      <c r="I39" s="2">
        <v>61.636039179999997</v>
      </c>
      <c r="J39" s="2">
        <v>-125.79880609999999</v>
      </c>
      <c r="K39" s="1" t="s">
        <v>46</v>
      </c>
      <c r="L39" s="2">
        <v>61.636039179999997</v>
      </c>
      <c r="M39" s="2">
        <v>-125.7991667</v>
      </c>
      <c r="N39" s="2">
        <v>-999</v>
      </c>
      <c r="O39" s="2">
        <v>-999</v>
      </c>
      <c r="Q39" s="2">
        <v>14603.337820000001</v>
      </c>
      <c r="R39" s="1" t="s">
        <v>47</v>
      </c>
      <c r="S39" s="2">
        <v>14500</v>
      </c>
      <c r="T39" s="1" t="s">
        <v>48</v>
      </c>
      <c r="V39" s="1" t="s">
        <v>49</v>
      </c>
      <c r="W39" s="1" t="s">
        <v>50</v>
      </c>
      <c r="X39" s="2">
        <v>14594.1</v>
      </c>
      <c r="Y39" s="2">
        <v>0.99553822000000003</v>
      </c>
      <c r="AA39" s="1" t="s">
        <v>51</v>
      </c>
      <c r="AC39" s="5">
        <v>44521</v>
      </c>
      <c r="AD39" s="5">
        <v>44928</v>
      </c>
      <c r="AE39" s="1">
        <v>28</v>
      </c>
      <c r="AF39" s="5">
        <v>22647</v>
      </c>
      <c r="AG39" s="5">
        <v>43799</v>
      </c>
      <c r="AH39" s="1">
        <v>484</v>
      </c>
      <c r="AI39" s="1" t="s">
        <v>91</v>
      </c>
      <c r="AJ39" s="1">
        <v>0</v>
      </c>
      <c r="AK39" s="1">
        <v>323</v>
      </c>
      <c r="AL39" s="1">
        <f t="shared" si="0"/>
        <v>0.34568697710867807</v>
      </c>
      <c r="AM39">
        <v>82017354</v>
      </c>
      <c r="AN39" s="2">
        <v>117.755461</v>
      </c>
      <c r="AO39">
        <v>82017350</v>
      </c>
      <c r="AP39" s="2">
        <v>14550.298487</v>
      </c>
      <c r="AQ39" s="1">
        <v>1</v>
      </c>
      <c r="AR39" s="2">
        <v>1</v>
      </c>
      <c r="AS39" s="4">
        <v>0.57640000000000002</v>
      </c>
      <c r="AT39" s="4">
        <v>0.28789999999999999</v>
      </c>
      <c r="AU39" s="4">
        <v>-3.2549999999999999</v>
      </c>
      <c r="AV39" s="4">
        <v>0.53620000000000001</v>
      </c>
      <c r="AX39" s="1">
        <v>20.85509621018949</v>
      </c>
      <c r="AY39" s="1" t="s">
        <v>144</v>
      </c>
      <c r="AZ39" s="4">
        <v>0.57640000000000002</v>
      </c>
      <c r="BA39" s="4">
        <v>0.28789999999999999</v>
      </c>
      <c r="BB39" s="4">
        <v>-3.2549999999999999</v>
      </c>
      <c r="BC39" s="4">
        <v>0.53620000000000001</v>
      </c>
      <c r="BD39" s="1">
        <v>0.34568697710867807</v>
      </c>
    </row>
    <row r="40" spans="1:56" x14ac:dyDescent="0.25">
      <c r="A40" s="1">
        <v>986</v>
      </c>
      <c r="B40" s="1" t="s">
        <v>43</v>
      </c>
      <c r="C40" s="1">
        <v>-0.3877664301824334</v>
      </c>
      <c r="D40" s="1" t="s">
        <v>146</v>
      </c>
      <c r="E40" s="1" t="s">
        <v>147</v>
      </c>
      <c r="F40" s="2">
        <v>61.742719999999998</v>
      </c>
      <c r="G40" s="2">
        <v>-121.22799999999999</v>
      </c>
      <c r="H40" s="1" t="s">
        <v>46</v>
      </c>
      <c r="I40" s="2">
        <v>61.741429549999999</v>
      </c>
      <c r="J40" s="2">
        <v>-121.2213848</v>
      </c>
      <c r="K40" s="1" t="s">
        <v>46</v>
      </c>
      <c r="L40" s="2">
        <v>61.741272369999997</v>
      </c>
      <c r="M40" s="2">
        <v>-121.22122760000001</v>
      </c>
      <c r="N40" s="2">
        <v>-999</v>
      </c>
      <c r="O40" s="2">
        <v>-999</v>
      </c>
      <c r="Q40" s="2">
        <v>273220.91979999997</v>
      </c>
      <c r="R40" s="1" t="s">
        <v>47</v>
      </c>
      <c r="S40" s="2">
        <v>275000</v>
      </c>
      <c r="T40" s="1" t="s">
        <v>48</v>
      </c>
      <c r="V40" s="1" t="s">
        <v>49</v>
      </c>
      <c r="W40" s="1" t="s">
        <v>50</v>
      </c>
      <c r="X40" s="2">
        <v>273522</v>
      </c>
      <c r="Y40" s="2">
        <v>0.994821344</v>
      </c>
      <c r="AA40" s="1" t="s">
        <v>51</v>
      </c>
      <c r="AC40" s="5">
        <v>44521</v>
      </c>
      <c r="AD40" s="5">
        <v>44928</v>
      </c>
      <c r="AE40" s="1">
        <v>435</v>
      </c>
      <c r="AF40" s="5">
        <v>26420</v>
      </c>
      <c r="AG40" s="5">
        <v>44561</v>
      </c>
      <c r="AH40" s="1">
        <v>26</v>
      </c>
      <c r="AI40" s="1" t="s">
        <v>91</v>
      </c>
      <c r="AJ40" s="1">
        <v>0</v>
      </c>
      <c r="AK40" s="1">
        <v>6001</v>
      </c>
      <c r="AL40" s="1">
        <f>100*(AP40-S40)/AP40</f>
        <v>-0.3877664301824334</v>
      </c>
      <c r="AM40">
        <v>82017075</v>
      </c>
      <c r="AN40" s="2">
        <v>132.73315502527799</v>
      </c>
      <c r="AO40">
        <v>82017074</v>
      </c>
      <c r="AP40" s="2">
        <v>273937.76132200001</v>
      </c>
      <c r="AQ40" s="1">
        <v>1</v>
      </c>
      <c r="AR40" s="2">
        <v>1</v>
      </c>
      <c r="AS40" s="4">
        <v>0.80500000000000005</v>
      </c>
      <c r="AT40" s="4">
        <v>0.77200000000000002</v>
      </c>
      <c r="AU40" s="4">
        <v>-15.16</v>
      </c>
      <c r="AV40" s="4">
        <v>0.78459999999999996</v>
      </c>
      <c r="AX40" s="1">
        <v>-0.3877664301824334</v>
      </c>
      <c r="AY40" s="1" t="s">
        <v>146</v>
      </c>
      <c r="AZ40" s="4">
        <v>0.80500000000000005</v>
      </c>
      <c r="BA40" s="4">
        <v>0.77200000000000002</v>
      </c>
      <c r="BB40" s="4">
        <v>-15.16</v>
      </c>
      <c r="BC40" s="4">
        <v>0.78459999999999996</v>
      </c>
      <c r="BD40" s="1">
        <v>-0.3877664301824334</v>
      </c>
    </row>
    <row r="41" spans="1:56" x14ac:dyDescent="0.25">
      <c r="A41" s="1">
        <v>993</v>
      </c>
      <c r="B41" s="1" t="s">
        <v>43</v>
      </c>
      <c r="C41" s="1">
        <v>6.4077142486370384</v>
      </c>
      <c r="D41" s="1" t="s">
        <v>148</v>
      </c>
      <c r="E41" s="1" t="s">
        <v>149</v>
      </c>
      <c r="F41" s="2">
        <v>62.650060000000003</v>
      </c>
      <c r="G41" s="2">
        <v>-122.89919999999999</v>
      </c>
      <c r="H41" s="1" t="s">
        <v>46</v>
      </c>
      <c r="I41" s="2">
        <v>62.649456579999999</v>
      </c>
      <c r="J41" s="2">
        <v>-122.8991876</v>
      </c>
      <c r="K41" s="1" t="s">
        <v>46</v>
      </c>
      <c r="L41" s="2">
        <v>62.64916667</v>
      </c>
      <c r="M41" s="2">
        <v>-122.8991876</v>
      </c>
      <c r="N41" s="2">
        <v>-999</v>
      </c>
      <c r="O41" s="2">
        <v>-999</v>
      </c>
      <c r="Q41" s="2">
        <v>21255.269960000001</v>
      </c>
      <c r="R41" s="1" t="s">
        <v>47</v>
      </c>
      <c r="S41" s="2">
        <v>20200</v>
      </c>
      <c r="T41" s="1" t="s">
        <v>48</v>
      </c>
      <c r="V41" s="1" t="s">
        <v>49</v>
      </c>
      <c r="W41" s="1" t="s">
        <v>50</v>
      </c>
      <c r="X41" s="2">
        <v>20591.7</v>
      </c>
      <c r="Y41" s="2">
        <v>0.954967966</v>
      </c>
      <c r="AA41" s="1" t="s">
        <v>51</v>
      </c>
      <c r="AC41" s="5">
        <v>44521</v>
      </c>
      <c r="AD41" s="5">
        <v>44847</v>
      </c>
      <c r="AE41" s="1">
        <v>1596</v>
      </c>
      <c r="AF41" s="5">
        <v>27395</v>
      </c>
      <c r="AG41" s="5">
        <v>43830</v>
      </c>
      <c r="AH41" s="1">
        <v>323</v>
      </c>
      <c r="AI41" s="1" t="s">
        <v>91</v>
      </c>
      <c r="AJ41" s="1">
        <v>0</v>
      </c>
      <c r="AK41" s="1">
        <v>475</v>
      </c>
      <c r="AL41" s="1">
        <f t="shared" si="0"/>
        <v>3.7595495303421997</v>
      </c>
      <c r="AM41">
        <v>82013518</v>
      </c>
      <c r="AN41" s="2">
        <v>182.632273</v>
      </c>
      <c r="AO41">
        <v>82013507</v>
      </c>
      <c r="AP41" s="2">
        <v>20989.095439000001</v>
      </c>
      <c r="AQ41" s="1">
        <v>1</v>
      </c>
      <c r="AR41" s="2">
        <v>1</v>
      </c>
      <c r="AS41" s="4">
        <v>0.35199999999999998</v>
      </c>
      <c r="AT41" s="4">
        <v>0.15060000000000001</v>
      </c>
      <c r="AU41" s="4">
        <v>-48.35</v>
      </c>
      <c r="AV41" s="4">
        <v>6.2119999999999996E-3</v>
      </c>
      <c r="AX41" s="1">
        <v>6.4077142486370384</v>
      </c>
      <c r="AY41" s="1" t="s">
        <v>148</v>
      </c>
      <c r="AZ41" s="4">
        <v>0.35199999999999998</v>
      </c>
      <c r="BA41" s="4">
        <v>0.15060000000000001</v>
      </c>
      <c r="BB41" s="4">
        <v>-48.35</v>
      </c>
      <c r="BC41" s="4">
        <v>6.2119999999999996E-3</v>
      </c>
      <c r="BD41" s="1">
        <v>3.7595495303421997</v>
      </c>
    </row>
    <row r="42" spans="1:56" x14ac:dyDescent="0.25">
      <c r="A42" s="1">
        <v>996</v>
      </c>
      <c r="B42" s="1" t="s">
        <v>43</v>
      </c>
      <c r="C42" s="6" t="s">
        <v>171</v>
      </c>
      <c r="D42" s="6" t="s">
        <v>150</v>
      </c>
      <c r="E42" s="6" t="s">
        <v>151</v>
      </c>
      <c r="F42" s="2">
        <v>65.128420000000006</v>
      </c>
      <c r="G42" s="2">
        <v>-123.5509</v>
      </c>
      <c r="H42" s="1" t="s">
        <v>46</v>
      </c>
      <c r="I42" s="2">
        <v>65.128349510000007</v>
      </c>
      <c r="J42" s="2">
        <v>-123.5532201</v>
      </c>
      <c r="K42" s="1" t="s">
        <v>46</v>
      </c>
      <c r="L42" s="2">
        <v>65.128701480000004</v>
      </c>
      <c r="M42" s="2">
        <v>-123.5528681</v>
      </c>
      <c r="N42" s="2">
        <v>-999</v>
      </c>
      <c r="O42" s="2">
        <v>-999</v>
      </c>
      <c r="Q42" s="2">
        <v>144251.64319999999</v>
      </c>
      <c r="R42" s="1" t="s">
        <v>47</v>
      </c>
      <c r="S42" s="2">
        <v>146400</v>
      </c>
      <c r="T42" s="1" t="s">
        <v>48</v>
      </c>
      <c r="V42" s="1" t="s">
        <v>49</v>
      </c>
      <c r="W42" s="1" t="s">
        <v>50</v>
      </c>
      <c r="X42" s="2">
        <v>145855</v>
      </c>
      <c r="Y42" s="2">
        <v>0.97669942700000001</v>
      </c>
      <c r="AA42" s="1" t="s">
        <v>51</v>
      </c>
      <c r="AC42" s="5">
        <v>44521</v>
      </c>
      <c r="AD42" s="5">
        <v>44928</v>
      </c>
      <c r="AE42" s="1">
        <v>506</v>
      </c>
      <c r="AF42" s="5">
        <v>22372</v>
      </c>
      <c r="AG42" s="5">
        <v>44196</v>
      </c>
      <c r="AH42" s="1">
        <v>911</v>
      </c>
      <c r="AI42" s="1" t="s">
        <v>91</v>
      </c>
      <c r="AJ42" s="1">
        <v>0</v>
      </c>
      <c r="AK42" s="1">
        <v>2854</v>
      </c>
      <c r="AL42" s="1">
        <f t="shared" si="0"/>
        <v>-0.56046253271554214</v>
      </c>
      <c r="AM42">
        <v>82006626</v>
      </c>
      <c r="AN42" s="2">
        <v>139.128971146672</v>
      </c>
      <c r="AO42">
        <v>82006623</v>
      </c>
      <c r="AP42" s="2">
        <v>145584.05591299999</v>
      </c>
      <c r="AQ42" s="1">
        <v>1</v>
      </c>
      <c r="AR42" s="2">
        <v>1</v>
      </c>
      <c r="AS42" s="4">
        <v>-4.476</v>
      </c>
      <c r="AT42" s="4">
        <v>-39.28</v>
      </c>
      <c r="AU42" s="4">
        <v>-21.83</v>
      </c>
      <c r="AV42" s="4">
        <v>-6.2670000000000003</v>
      </c>
      <c r="AX42" s="1" t="s">
        <v>171</v>
      </c>
      <c r="AY42" s="3" t="s">
        <v>150</v>
      </c>
      <c r="AZ42" s="4">
        <v>-4.476</v>
      </c>
      <c r="BA42" s="4">
        <v>-39.28</v>
      </c>
      <c r="BB42" s="4">
        <v>-21.83</v>
      </c>
      <c r="BC42" s="4">
        <v>-6.2670000000000003</v>
      </c>
      <c r="BD42" s="1">
        <v>-0.56046253271554214</v>
      </c>
    </row>
    <row r="43" spans="1:56" x14ac:dyDescent="0.25">
      <c r="A43" s="1">
        <v>999</v>
      </c>
      <c r="B43" s="1" t="s">
        <v>43</v>
      </c>
      <c r="C43" s="1">
        <v>0.77514963832688066</v>
      </c>
      <c r="D43" s="1" t="s">
        <v>152</v>
      </c>
      <c r="E43" s="1" t="s">
        <v>153</v>
      </c>
      <c r="F43" s="2">
        <v>66.787440000000004</v>
      </c>
      <c r="G43" s="2">
        <v>-133.08959999999999</v>
      </c>
      <c r="H43" s="1" t="s">
        <v>46</v>
      </c>
      <c r="I43" s="2">
        <v>66.785433879999999</v>
      </c>
      <c r="J43" s="2">
        <v>-133.08898339999999</v>
      </c>
      <c r="K43" s="1" t="s">
        <v>46</v>
      </c>
      <c r="L43" s="2">
        <v>66.785833330000003</v>
      </c>
      <c r="M43" s="2">
        <v>-133.08898339999999</v>
      </c>
      <c r="N43" s="2">
        <v>-999</v>
      </c>
      <c r="O43" s="2">
        <v>-999</v>
      </c>
      <c r="Q43" s="2">
        <v>18696.70825</v>
      </c>
      <c r="R43" s="1" t="s">
        <v>47</v>
      </c>
      <c r="S43" s="2">
        <v>18750</v>
      </c>
      <c r="T43" s="1" t="s">
        <v>48</v>
      </c>
      <c r="V43" s="1" t="s">
        <v>49</v>
      </c>
      <c r="W43" s="1" t="s">
        <v>50</v>
      </c>
      <c r="X43" s="2">
        <v>18754.7</v>
      </c>
      <c r="Y43" s="2">
        <v>0.98409897099999999</v>
      </c>
      <c r="AA43" s="1" t="s">
        <v>51</v>
      </c>
      <c r="AC43" s="5">
        <v>44521</v>
      </c>
      <c r="AD43" s="5">
        <v>44928</v>
      </c>
      <c r="AE43" s="1">
        <v>378</v>
      </c>
      <c r="AF43" s="5">
        <v>25051</v>
      </c>
      <c r="AG43" s="5">
        <v>43100</v>
      </c>
      <c r="AH43" s="1">
        <v>334</v>
      </c>
      <c r="AI43" s="1" t="s">
        <v>91</v>
      </c>
      <c r="AJ43" s="1">
        <v>0</v>
      </c>
      <c r="AK43" s="1">
        <v>395</v>
      </c>
      <c r="AL43" s="1">
        <f t="shared" si="0"/>
        <v>0.77514963832688066</v>
      </c>
      <c r="AM43">
        <v>82004119</v>
      </c>
      <c r="AN43" s="2">
        <v>106.133052013789</v>
      </c>
      <c r="AO43">
        <v>82004115</v>
      </c>
      <c r="AP43" s="2">
        <v>18896.475965099999</v>
      </c>
      <c r="AQ43" s="1">
        <v>1</v>
      </c>
      <c r="AR43" s="2">
        <v>1</v>
      </c>
      <c r="AS43" s="4">
        <v>0.5534</v>
      </c>
      <c r="AT43" s="4">
        <v>0.11409999999999999</v>
      </c>
      <c r="AU43" s="4">
        <v>20.079999999999998</v>
      </c>
      <c r="AV43" s="4">
        <v>0.60299999999999998</v>
      </c>
      <c r="AX43" s="1">
        <v>0.77514963832688066</v>
      </c>
      <c r="AY43" s="1" t="s">
        <v>152</v>
      </c>
      <c r="AZ43" s="4">
        <v>0.5534</v>
      </c>
      <c r="BA43" s="4">
        <v>0.11409999999999999</v>
      </c>
      <c r="BB43" s="4">
        <v>20.079999999999998</v>
      </c>
      <c r="BC43" s="4">
        <v>0.60299999999999998</v>
      </c>
      <c r="BD43" s="1">
        <v>0.77514963832688066</v>
      </c>
    </row>
    <row r="44" spans="1:56" x14ac:dyDescent="0.25">
      <c r="A44" s="1">
        <v>1005</v>
      </c>
      <c r="B44" s="1" t="s">
        <v>43</v>
      </c>
      <c r="C44" s="1">
        <v>0.57913777028287472</v>
      </c>
      <c r="D44" s="1" t="s">
        <v>154</v>
      </c>
      <c r="E44" s="1" t="s">
        <v>155</v>
      </c>
      <c r="F44" s="2">
        <v>67.258889999999994</v>
      </c>
      <c r="G44" s="2">
        <v>-134.8888</v>
      </c>
      <c r="H44" s="1" t="s">
        <v>46</v>
      </c>
      <c r="I44" s="2">
        <v>67.257290019999999</v>
      </c>
      <c r="J44" s="2">
        <v>-134.8929286</v>
      </c>
      <c r="K44" s="1" t="s">
        <v>46</v>
      </c>
      <c r="L44" s="2">
        <v>67.258025979999999</v>
      </c>
      <c r="M44" s="2">
        <v>-134.89219259999999</v>
      </c>
      <c r="N44" s="2">
        <v>-999</v>
      </c>
      <c r="O44" s="2">
        <v>-999</v>
      </c>
      <c r="Q44" s="2">
        <v>70709.046040000001</v>
      </c>
      <c r="R44" s="1" t="s">
        <v>47</v>
      </c>
      <c r="S44" s="2">
        <v>70600</v>
      </c>
      <c r="T44" s="1" t="s">
        <v>48</v>
      </c>
      <c r="V44" s="1" t="s">
        <v>49</v>
      </c>
      <c r="W44" s="1" t="s">
        <v>50</v>
      </c>
      <c r="X44" s="2">
        <v>70674.8</v>
      </c>
      <c r="Y44" s="2">
        <v>0.99682796399999996</v>
      </c>
      <c r="AA44" s="1" t="s">
        <v>51</v>
      </c>
      <c r="AC44" s="5">
        <v>44520</v>
      </c>
      <c r="AD44" s="5">
        <v>44928</v>
      </c>
      <c r="AE44" s="1">
        <v>4252</v>
      </c>
      <c r="AF44" s="5">
        <v>25447</v>
      </c>
      <c r="AG44" s="5">
        <v>43465</v>
      </c>
      <c r="AH44" s="1">
        <v>165</v>
      </c>
      <c r="AI44" s="1" t="s">
        <v>91</v>
      </c>
      <c r="AJ44" s="1">
        <v>0</v>
      </c>
      <c r="AK44" s="1">
        <v>1600</v>
      </c>
      <c r="AL44" s="1">
        <f t="shared" si="0"/>
        <v>0.57913777028287472</v>
      </c>
      <c r="AM44">
        <v>82004082</v>
      </c>
      <c r="AN44" s="2">
        <v>154.62875946219199</v>
      </c>
      <c r="AO44">
        <v>82001763</v>
      </c>
      <c r="AP44" s="2">
        <v>71011.252987200001</v>
      </c>
      <c r="AQ44" s="1">
        <v>1</v>
      </c>
      <c r="AR44" s="2">
        <v>1</v>
      </c>
      <c r="AS44" s="4">
        <v>0.56420000000000003</v>
      </c>
      <c r="AT44" s="4">
        <v>3.8100000000000002E-2</v>
      </c>
      <c r="AU44" s="4">
        <v>-2.4220000000000002</v>
      </c>
      <c r="AV44" s="4">
        <v>0.55359999999999998</v>
      </c>
      <c r="AX44" s="1">
        <v>0.57913777028287472</v>
      </c>
      <c r="AY44" s="1" t="s">
        <v>154</v>
      </c>
      <c r="AZ44" s="4">
        <v>0.56420000000000003</v>
      </c>
      <c r="BA44" s="4">
        <v>3.8100000000000002E-2</v>
      </c>
      <c r="BB44" s="4">
        <v>-2.4220000000000002</v>
      </c>
      <c r="BC44" s="4">
        <v>0.55359999999999998</v>
      </c>
      <c r="BD44" s="1">
        <v>0.57913777028287472</v>
      </c>
    </row>
    <row r="45" spans="1:56" x14ac:dyDescent="0.25">
      <c r="A45" s="1">
        <v>1006</v>
      </c>
      <c r="B45" s="1" t="s">
        <v>43</v>
      </c>
      <c r="C45" s="1">
        <v>-0.74943050476224016</v>
      </c>
      <c r="D45" s="1" t="s">
        <v>156</v>
      </c>
      <c r="E45" s="1" t="s">
        <v>157</v>
      </c>
      <c r="F45" s="2">
        <v>68.630669999999995</v>
      </c>
      <c r="G45" s="2">
        <v>-128.42140000000001</v>
      </c>
      <c r="H45" s="1" t="s">
        <v>46</v>
      </c>
      <c r="I45" s="2">
        <v>68.629740960000007</v>
      </c>
      <c r="J45" s="2">
        <v>-128.42482290000001</v>
      </c>
      <c r="K45" s="1" t="s">
        <v>46</v>
      </c>
      <c r="L45" s="2">
        <v>68.629740960000007</v>
      </c>
      <c r="M45" s="2">
        <v>-128.42500000000001</v>
      </c>
      <c r="N45" s="2">
        <v>-999</v>
      </c>
      <c r="O45" s="2">
        <v>-999</v>
      </c>
      <c r="Q45" s="2">
        <v>57128.104399999997</v>
      </c>
      <c r="R45" s="1" t="s">
        <v>47</v>
      </c>
      <c r="S45" s="2">
        <v>57800</v>
      </c>
      <c r="T45" s="1" t="s">
        <v>48</v>
      </c>
      <c r="V45" s="1" t="s">
        <v>49</v>
      </c>
      <c r="W45" s="1" t="s">
        <v>50</v>
      </c>
      <c r="X45" s="2">
        <v>56365.8</v>
      </c>
      <c r="Y45" s="2">
        <v>0.97959368899999999</v>
      </c>
      <c r="AA45" s="1" t="s">
        <v>51</v>
      </c>
      <c r="AC45" s="5">
        <v>44652</v>
      </c>
      <c r="AD45" s="5">
        <v>44850</v>
      </c>
      <c r="AE45" s="1">
        <v>17</v>
      </c>
      <c r="AF45" s="5">
        <v>25447</v>
      </c>
      <c r="AG45" s="5">
        <v>43039</v>
      </c>
      <c r="AH45" s="1">
        <v>826</v>
      </c>
      <c r="AI45" s="1" t="s">
        <v>91</v>
      </c>
      <c r="AJ45" s="1">
        <v>0</v>
      </c>
      <c r="AK45" s="1">
        <v>1267</v>
      </c>
      <c r="AL45" s="1">
        <f t="shared" si="0"/>
        <v>-0.74943050476224016</v>
      </c>
      <c r="AM45">
        <v>82001793</v>
      </c>
      <c r="AN45" s="2">
        <v>190.58382918456201</v>
      </c>
      <c r="AO45">
        <v>82001791</v>
      </c>
      <c r="AP45" s="2">
        <v>57370.051334700001</v>
      </c>
      <c r="AQ45" s="1">
        <v>1</v>
      </c>
      <c r="AR45" s="2">
        <v>1</v>
      </c>
      <c r="AS45" s="4">
        <v>0.33040000000000003</v>
      </c>
      <c r="AT45" s="4">
        <v>-0.3175</v>
      </c>
      <c r="AU45" s="4">
        <v>-33.85</v>
      </c>
      <c r="AV45" s="4">
        <v>-0.2868</v>
      </c>
      <c r="AX45" s="1">
        <v>-0.74943050476224016</v>
      </c>
      <c r="AY45" s="1" t="s">
        <v>156</v>
      </c>
      <c r="AZ45" s="4">
        <v>0.33040000000000003</v>
      </c>
      <c r="BA45" s="4">
        <v>-0.3175</v>
      </c>
      <c r="BB45" s="4">
        <v>-33.85</v>
      </c>
      <c r="BC45" s="4">
        <v>-0.2868</v>
      </c>
      <c r="BD45" s="1">
        <v>-0.74943050476224016</v>
      </c>
    </row>
    <row r="46" spans="1:56" x14ac:dyDescent="0.25">
      <c r="A46" s="1">
        <v>1008</v>
      </c>
      <c r="B46" s="1" t="s">
        <v>43</v>
      </c>
      <c r="C46" s="1">
        <v>10.038439509315436</v>
      </c>
      <c r="D46" s="1" t="s">
        <v>158</v>
      </c>
      <c r="E46" s="1" t="s">
        <v>159</v>
      </c>
      <c r="F46" s="2">
        <v>65.41583</v>
      </c>
      <c r="G46" s="2">
        <v>-114.0078</v>
      </c>
      <c r="H46" s="1" t="s">
        <v>46</v>
      </c>
      <c r="I46" s="2">
        <v>65.415784360000004</v>
      </c>
      <c r="J46" s="2">
        <v>-114.0078953</v>
      </c>
      <c r="K46" s="1" t="s">
        <v>46</v>
      </c>
      <c r="L46" s="2">
        <v>65.415833329999998</v>
      </c>
      <c r="M46" s="2">
        <v>-114.0078953</v>
      </c>
      <c r="N46" s="2">
        <v>-999</v>
      </c>
      <c r="O46" s="2">
        <v>-999</v>
      </c>
      <c r="Q46" s="2">
        <v>20240.649969999999</v>
      </c>
      <c r="R46" s="1" t="s">
        <v>47</v>
      </c>
      <c r="S46" s="2">
        <v>19200</v>
      </c>
      <c r="T46" s="1" t="s">
        <v>48</v>
      </c>
      <c r="V46" s="1" t="s">
        <v>49</v>
      </c>
      <c r="W46" s="1" t="s">
        <v>50</v>
      </c>
      <c r="X46" s="2">
        <v>20291.7</v>
      </c>
      <c r="Y46" s="2">
        <v>0.98711293099999997</v>
      </c>
      <c r="AA46" s="1" t="s">
        <v>51</v>
      </c>
      <c r="AC46" s="5">
        <v>44521</v>
      </c>
      <c r="AD46" s="5">
        <v>44928</v>
      </c>
      <c r="AE46" s="1">
        <v>0</v>
      </c>
      <c r="AF46" s="5">
        <v>23924</v>
      </c>
      <c r="AG46" s="5">
        <v>43465</v>
      </c>
      <c r="AH46" s="1">
        <v>97</v>
      </c>
      <c r="AI46" s="1" t="s">
        <v>91</v>
      </c>
      <c r="AJ46" s="1">
        <v>0</v>
      </c>
      <c r="AK46" s="1">
        <v>467</v>
      </c>
      <c r="AL46" s="1">
        <f>100*(AP46-S46)/AP46</f>
        <v>4.7732429999672483</v>
      </c>
      <c r="AM46">
        <v>83009366</v>
      </c>
      <c r="AN46" s="2">
        <v>169.68231399999999</v>
      </c>
      <c r="AO46">
        <v>83009361</v>
      </c>
      <c r="AP46" s="2">
        <v>20162.400364000001</v>
      </c>
      <c r="AQ46" s="1">
        <v>1</v>
      </c>
      <c r="AR46" s="2">
        <v>1</v>
      </c>
      <c r="AS46" s="4">
        <v>-2.0449999999999999</v>
      </c>
      <c r="AT46" s="4">
        <v>-14.51</v>
      </c>
      <c r="AU46" s="4">
        <v>15.79</v>
      </c>
      <c r="AV46" s="4">
        <v>-1.542</v>
      </c>
      <c r="AX46" s="1">
        <v>10.038439509315436</v>
      </c>
      <c r="AY46" s="3" t="s">
        <v>158</v>
      </c>
      <c r="AZ46" s="4">
        <v>-2.0449999999999999</v>
      </c>
      <c r="BA46" s="4">
        <v>-14.51</v>
      </c>
      <c r="BB46" s="4">
        <v>15.79</v>
      </c>
      <c r="BC46" s="4">
        <v>-1.542</v>
      </c>
      <c r="BD46" s="1">
        <v>4.7732429999672483</v>
      </c>
    </row>
    <row r="47" spans="1:56" x14ac:dyDescent="0.25">
      <c r="A47" s="1">
        <v>1013</v>
      </c>
      <c r="B47" s="1" t="s">
        <v>43</v>
      </c>
      <c r="C47" s="1">
        <v>0.61455275347321825</v>
      </c>
      <c r="D47" s="1" t="s">
        <v>160</v>
      </c>
      <c r="E47" s="1" t="s">
        <v>161</v>
      </c>
      <c r="F47" s="2">
        <v>67.708330000000004</v>
      </c>
      <c r="G47" s="2">
        <v>-104.1392</v>
      </c>
      <c r="H47" s="1" t="s">
        <v>46</v>
      </c>
      <c r="I47" s="2">
        <v>67.709153670000006</v>
      </c>
      <c r="J47" s="2">
        <v>-104.138874</v>
      </c>
      <c r="K47" s="1" t="s">
        <v>46</v>
      </c>
      <c r="L47" s="2">
        <v>67.709999999999994</v>
      </c>
      <c r="M47" s="2">
        <v>-104.138874</v>
      </c>
      <c r="N47" s="2">
        <v>-999</v>
      </c>
      <c r="O47" s="2">
        <v>-999</v>
      </c>
      <c r="Q47" s="2">
        <v>16962.457780000001</v>
      </c>
      <c r="R47" s="1" t="s">
        <v>47</v>
      </c>
      <c r="S47" s="2">
        <v>16900</v>
      </c>
      <c r="T47" s="1" t="s">
        <v>48</v>
      </c>
      <c r="V47" s="1" t="s">
        <v>49</v>
      </c>
      <c r="W47" s="1" t="s">
        <v>50</v>
      </c>
      <c r="X47" s="2">
        <v>17083.3</v>
      </c>
      <c r="Y47" s="2">
        <v>0.98057317300000002</v>
      </c>
      <c r="AA47" s="1" t="s">
        <v>51</v>
      </c>
      <c r="AC47" s="5">
        <v>44729</v>
      </c>
      <c r="AD47" s="5">
        <v>44880</v>
      </c>
      <c r="AE47" s="1">
        <v>59</v>
      </c>
      <c r="AF47" s="5">
        <v>25934</v>
      </c>
      <c r="AG47" s="5">
        <v>43434</v>
      </c>
      <c r="AH47" s="1">
        <v>622</v>
      </c>
      <c r="AI47" s="1" t="s">
        <v>91</v>
      </c>
      <c r="AJ47" s="1">
        <v>0</v>
      </c>
      <c r="AK47" s="1">
        <v>373</v>
      </c>
      <c r="AL47" s="1">
        <f t="shared" si="0"/>
        <v>0.61455275347321825</v>
      </c>
      <c r="AM47">
        <v>83002814</v>
      </c>
      <c r="AN47" s="2">
        <v>148.94840279746299</v>
      </c>
      <c r="AO47">
        <v>83001163</v>
      </c>
      <c r="AP47" s="2">
        <v>17004.501633</v>
      </c>
      <c r="AQ47" s="1">
        <v>1</v>
      </c>
      <c r="AR47" s="2">
        <v>1</v>
      </c>
      <c r="AS47" s="4">
        <v>0.42730000000000001</v>
      </c>
      <c r="AT47" s="4">
        <v>-0.2545</v>
      </c>
      <c r="AU47" s="4">
        <v>-15.61</v>
      </c>
      <c r="AV47" s="4">
        <v>0.23319999999999999</v>
      </c>
      <c r="AX47" s="1">
        <v>0.61455275347321825</v>
      </c>
      <c r="AY47" s="1" t="s">
        <v>160</v>
      </c>
      <c r="AZ47" s="4">
        <v>0.42730000000000001</v>
      </c>
      <c r="BA47" s="4">
        <v>-0.2545</v>
      </c>
      <c r="BB47" s="4">
        <v>-15.61</v>
      </c>
      <c r="BC47" s="4">
        <v>0.23319999999999999</v>
      </c>
      <c r="BD47" s="1">
        <v>0.61455275347321825</v>
      </c>
    </row>
    <row r="48" spans="1:56" x14ac:dyDescent="0.25">
      <c r="A48" s="1">
        <v>1016</v>
      </c>
      <c r="B48" s="1" t="s">
        <v>43</v>
      </c>
      <c r="C48" s="1">
        <v>-2.5404628350571567E-2</v>
      </c>
      <c r="D48" s="1" t="s">
        <v>162</v>
      </c>
      <c r="E48" s="1" t="s">
        <v>163</v>
      </c>
      <c r="F48" s="2">
        <v>66.08614</v>
      </c>
      <c r="G48" s="2">
        <v>-96.510810000000006</v>
      </c>
      <c r="H48" s="1" t="s">
        <v>46</v>
      </c>
      <c r="I48" s="2">
        <v>66.082232020000006</v>
      </c>
      <c r="J48" s="2">
        <v>-96.510007369999997</v>
      </c>
      <c r="K48" s="1" t="s">
        <v>46</v>
      </c>
      <c r="L48" s="2">
        <v>66.082499999999996</v>
      </c>
      <c r="M48" s="2">
        <v>-96.510007369999997</v>
      </c>
      <c r="N48" s="2">
        <v>-999</v>
      </c>
      <c r="O48" s="2">
        <v>-999</v>
      </c>
      <c r="Q48" s="2">
        <v>93271.858099999998</v>
      </c>
      <c r="R48" s="1" t="s">
        <v>47</v>
      </c>
      <c r="S48" s="2">
        <v>93900</v>
      </c>
      <c r="T48" s="1" t="s">
        <v>48</v>
      </c>
      <c r="V48" s="1" t="s">
        <v>49</v>
      </c>
      <c r="W48" s="1" t="s">
        <v>50</v>
      </c>
      <c r="X48" s="2">
        <v>97181.3</v>
      </c>
      <c r="Y48" s="2">
        <v>0.94790374600000005</v>
      </c>
      <c r="AA48" s="1" t="s">
        <v>51</v>
      </c>
      <c r="AC48" s="5">
        <v>44521</v>
      </c>
      <c r="AD48" s="5">
        <v>44848</v>
      </c>
      <c r="AE48" s="1">
        <v>27</v>
      </c>
      <c r="AF48" s="5">
        <v>23743</v>
      </c>
      <c r="AG48" s="5">
        <v>43465</v>
      </c>
      <c r="AH48" s="1">
        <v>188</v>
      </c>
      <c r="AI48" s="1" t="s">
        <v>73</v>
      </c>
      <c r="AJ48" s="1">
        <v>0</v>
      </c>
      <c r="AK48" s="1">
        <v>2099</v>
      </c>
      <c r="AL48" s="1">
        <f t="shared" si="0"/>
        <v>-2.5404628350571567E-2</v>
      </c>
      <c r="AM48">
        <v>83006003</v>
      </c>
      <c r="AN48" s="2">
        <v>224.65967293887701</v>
      </c>
      <c r="AO48">
        <v>83006000</v>
      </c>
      <c r="AP48" s="2">
        <v>93876.151112699998</v>
      </c>
      <c r="AQ48" s="1">
        <v>1</v>
      </c>
      <c r="AR48" s="2">
        <v>1</v>
      </c>
      <c r="AS48" s="4">
        <v>0.75360000000000005</v>
      </c>
      <c r="AT48" s="4">
        <v>0.59160000000000001</v>
      </c>
      <c r="AU48" s="4">
        <v>0.4425</v>
      </c>
      <c r="AV48" s="4">
        <v>0.75760000000000005</v>
      </c>
      <c r="AX48" s="1">
        <v>-2.5404628350571567E-2</v>
      </c>
      <c r="AY48" s="1" t="s">
        <v>162</v>
      </c>
      <c r="AZ48" s="4">
        <v>0.75360000000000005</v>
      </c>
      <c r="BA48" s="4">
        <v>0.59160000000000001</v>
      </c>
      <c r="BB48" s="4">
        <v>0.4425</v>
      </c>
      <c r="BC48" s="4">
        <v>0.75760000000000005</v>
      </c>
      <c r="BD48" s="1">
        <v>-2.5404628350571567E-2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492FD-B38A-4EFC-86AF-F03566E72D18}">
  <dimension ref="A1:N25"/>
  <sheetViews>
    <sheetView tabSelected="1" workbookViewId="0">
      <selection sqref="A1:N25"/>
    </sheetView>
  </sheetViews>
  <sheetFormatPr defaultRowHeight="15" x14ac:dyDescent="0.25"/>
  <cols>
    <col min="2" max="2" width="9.7109375" bestFit="1" customWidth="1"/>
    <col min="3" max="3" width="8.7109375" bestFit="1" customWidth="1"/>
    <col min="6" max="6" width="9.28515625" bestFit="1" customWidth="1"/>
    <col min="7" max="7" width="12.7109375" bestFit="1" customWidth="1"/>
    <col min="9" max="9" width="9.5703125" customWidth="1"/>
    <col min="10" max="10" width="8.7109375" bestFit="1" customWidth="1"/>
    <col min="12" max="12" width="7" bestFit="1" customWidth="1"/>
    <col min="13" max="13" width="9.28515625" bestFit="1" customWidth="1"/>
    <col min="14" max="14" width="12.7109375" bestFit="1" customWidth="1"/>
  </cols>
  <sheetData>
    <row r="1" spans="1:14" x14ac:dyDescent="0.25">
      <c r="A1" s="7" t="s">
        <v>175</v>
      </c>
      <c r="B1" s="7" t="s">
        <v>174</v>
      </c>
      <c r="C1" s="7" t="s">
        <v>167</v>
      </c>
      <c r="D1" s="7" t="s">
        <v>168</v>
      </c>
      <c r="E1" s="7" t="s">
        <v>170</v>
      </c>
      <c r="F1" s="7" t="s">
        <v>169</v>
      </c>
      <c r="G1" s="7" t="s">
        <v>173</v>
      </c>
      <c r="H1" s="7" t="s">
        <v>175</v>
      </c>
      <c r="I1" s="7" t="s">
        <v>174</v>
      </c>
      <c r="J1" s="7" t="s">
        <v>167</v>
      </c>
      <c r="K1" s="7" t="s">
        <v>168</v>
      </c>
      <c r="L1" s="7" t="s">
        <v>170</v>
      </c>
      <c r="M1" s="7" t="s">
        <v>169</v>
      </c>
      <c r="N1" s="7" t="s">
        <v>173</v>
      </c>
    </row>
    <row r="2" spans="1:14" x14ac:dyDescent="0.25">
      <c r="A2" s="7">
        <v>1</v>
      </c>
      <c r="B2" s="7" t="s">
        <v>44</v>
      </c>
      <c r="C2" s="8">
        <v>0.6139</v>
      </c>
      <c r="D2" s="8">
        <v>0.47510000000000002</v>
      </c>
      <c r="E2" s="9">
        <v>1.4039999999999999</v>
      </c>
      <c r="F2" s="8">
        <v>0.60740000000000005</v>
      </c>
      <c r="G2" s="9">
        <v>3.6677266568551468</v>
      </c>
      <c r="H2" s="7">
        <v>25</v>
      </c>
      <c r="I2" s="7" t="s">
        <v>111</v>
      </c>
      <c r="J2" s="10">
        <v>-3.3559999999999999</v>
      </c>
      <c r="K2" s="11">
        <v>-24.71</v>
      </c>
      <c r="L2" s="10">
        <v>-11.9</v>
      </c>
      <c r="M2" s="10">
        <v>-4.0650000000000004</v>
      </c>
      <c r="N2" s="11">
        <v>-1.4306057760689808</v>
      </c>
    </row>
    <row r="3" spans="1:14" x14ac:dyDescent="0.25">
      <c r="A3" s="7">
        <v>2</v>
      </c>
      <c r="B3" s="7" t="s">
        <v>53</v>
      </c>
      <c r="C3" s="8">
        <v>0.72599999999999998</v>
      </c>
      <c r="D3" s="8">
        <v>0.43</v>
      </c>
      <c r="E3" s="9">
        <v>-1.5489999999999999</v>
      </c>
      <c r="F3" s="8">
        <v>0.7218</v>
      </c>
      <c r="G3" s="9">
        <v>0.71717989712318653</v>
      </c>
      <c r="H3" s="7">
        <v>26</v>
      </c>
      <c r="I3" s="7" t="s">
        <v>116</v>
      </c>
      <c r="J3" s="10">
        <v>0.25280000000000002</v>
      </c>
      <c r="K3" s="11">
        <v>-0.59840000000000004</v>
      </c>
      <c r="L3" s="10">
        <v>-23.86</v>
      </c>
      <c r="M3" s="10">
        <v>-0.18640000000000001</v>
      </c>
      <c r="N3" s="11">
        <v>-1.2192791842561062</v>
      </c>
    </row>
    <row r="4" spans="1:14" x14ac:dyDescent="0.25">
      <c r="A4" s="7">
        <v>3</v>
      </c>
      <c r="B4" s="7" t="s">
        <v>56</v>
      </c>
      <c r="C4" s="12">
        <v>0.46379999999999999</v>
      </c>
      <c r="D4" s="12">
        <v>-0.193</v>
      </c>
      <c r="E4" s="13">
        <v>4.5830000000000002</v>
      </c>
      <c r="F4" s="12">
        <v>0.50360000000000005</v>
      </c>
      <c r="G4" s="13">
        <v>-0.11823666557122683</v>
      </c>
      <c r="H4" s="7">
        <v>27</v>
      </c>
      <c r="I4" s="7" t="s">
        <v>119</v>
      </c>
      <c r="J4" s="10">
        <v>-2.6380000000000001E-2</v>
      </c>
      <c r="K4" s="11">
        <v>-1.5169999999999999</v>
      </c>
      <c r="L4" s="10">
        <v>-20.16</v>
      </c>
      <c r="M4" s="10">
        <v>-0.46960000000000002</v>
      </c>
      <c r="N4" s="11">
        <v>-0.12550617040560996</v>
      </c>
    </row>
    <row r="5" spans="1:14" x14ac:dyDescent="0.25">
      <c r="A5" s="7">
        <v>4</v>
      </c>
      <c r="B5" s="7" t="s">
        <v>58</v>
      </c>
      <c r="C5" s="8">
        <v>0.57530000000000003</v>
      </c>
      <c r="D5" s="8">
        <v>0.15390000000000001</v>
      </c>
      <c r="E5" s="9">
        <v>-13.85</v>
      </c>
      <c r="F5" s="8">
        <v>0.42259999999999998</v>
      </c>
      <c r="G5" s="9">
        <v>-1.7687077435587182</v>
      </c>
      <c r="H5" s="7">
        <v>28</v>
      </c>
      <c r="I5" s="7" t="s">
        <v>122</v>
      </c>
      <c r="J5" s="10">
        <v>-2.5299999999999998</v>
      </c>
      <c r="K5" s="11">
        <v>-16.420000000000002</v>
      </c>
      <c r="L5" s="10">
        <v>18.329999999999998</v>
      </c>
      <c r="M5" s="10">
        <v>-1.8480000000000001</v>
      </c>
      <c r="N5" s="11">
        <v>0.4662281389335966</v>
      </c>
    </row>
    <row r="6" spans="1:14" x14ac:dyDescent="0.25">
      <c r="A6" s="7">
        <v>5</v>
      </c>
      <c r="B6" s="7" t="s">
        <v>60</v>
      </c>
      <c r="C6" s="12">
        <v>0.4214</v>
      </c>
      <c r="D6" s="12">
        <v>-0.35339999999999999</v>
      </c>
      <c r="E6" s="13">
        <v>9.4209999999999994</v>
      </c>
      <c r="F6" s="12">
        <v>0.47799999999999998</v>
      </c>
      <c r="G6" s="13">
        <v>0.67526311922959659</v>
      </c>
      <c r="H6" s="7">
        <v>29</v>
      </c>
      <c r="I6" s="7" t="s">
        <v>124</v>
      </c>
      <c r="J6" s="8">
        <v>0.51529999999999998</v>
      </c>
      <c r="K6" s="9">
        <v>0.60060000000000002</v>
      </c>
      <c r="L6" s="8">
        <v>-39.19</v>
      </c>
      <c r="M6" s="8">
        <v>0.53410000000000002</v>
      </c>
      <c r="N6" s="9">
        <v>3.2645506310871228</v>
      </c>
    </row>
    <row r="7" spans="1:14" x14ac:dyDescent="0.25">
      <c r="A7" s="7">
        <v>6</v>
      </c>
      <c r="B7" s="7" t="s">
        <v>62</v>
      </c>
      <c r="C7" s="8">
        <v>0.53910000000000002</v>
      </c>
      <c r="D7" s="8">
        <v>9.0200000000000002E-3</v>
      </c>
      <c r="E7" s="9">
        <v>5.8449999999999998</v>
      </c>
      <c r="F7" s="8">
        <v>0.58179999999999998</v>
      </c>
      <c r="G7" s="9">
        <v>-0.21477079317526768</v>
      </c>
      <c r="H7" s="7">
        <v>30</v>
      </c>
      <c r="I7" s="7" t="s">
        <v>127</v>
      </c>
      <c r="J7" s="12">
        <v>0.44269999999999998</v>
      </c>
      <c r="K7" s="13">
        <v>0.51870000000000005</v>
      </c>
      <c r="L7" s="12">
        <v>-42.24</v>
      </c>
      <c r="M7" s="12">
        <v>0.53610000000000002</v>
      </c>
      <c r="N7" s="13">
        <v>0.80248908424920096</v>
      </c>
    </row>
    <row r="8" spans="1:14" x14ac:dyDescent="0.25">
      <c r="A8" s="7">
        <v>7</v>
      </c>
      <c r="B8" s="7" t="s">
        <v>64</v>
      </c>
      <c r="C8" s="8">
        <v>0.58760000000000001</v>
      </c>
      <c r="D8" s="8">
        <v>0.15609999999999999</v>
      </c>
      <c r="E8" s="9">
        <v>-11.34</v>
      </c>
      <c r="F8" s="8">
        <v>0.47610000000000002</v>
      </c>
      <c r="G8" s="9">
        <v>-1.1417030250276226</v>
      </c>
      <c r="H8" s="7">
        <v>31</v>
      </c>
      <c r="I8" s="7" t="s">
        <v>130</v>
      </c>
      <c r="J8" s="10">
        <v>0.22550000000000001</v>
      </c>
      <c r="K8" s="11">
        <v>-0.99939999999999996</v>
      </c>
      <c r="L8" s="10">
        <v>-9.5690000000000008</v>
      </c>
      <c r="M8" s="10">
        <v>0.1066</v>
      </c>
      <c r="N8" s="11">
        <v>3.7794319136890362</v>
      </c>
    </row>
    <row r="9" spans="1:14" x14ac:dyDescent="0.25">
      <c r="A9" s="7">
        <v>8</v>
      </c>
      <c r="B9" s="7" t="s">
        <v>66</v>
      </c>
      <c r="C9" s="10">
        <v>6.8430000000000005E-2</v>
      </c>
      <c r="D9" s="10">
        <v>-0.69920000000000004</v>
      </c>
      <c r="E9" s="11">
        <v>4.5369999999999999</v>
      </c>
      <c r="F9" s="10">
        <v>0.1479</v>
      </c>
      <c r="G9" s="11">
        <v>4.2266298729015404</v>
      </c>
      <c r="H9" s="7">
        <v>32</v>
      </c>
      <c r="I9" s="7" t="s">
        <v>132</v>
      </c>
      <c r="J9" s="8">
        <v>0.66269999999999996</v>
      </c>
      <c r="K9" s="9">
        <v>0.76980000000000004</v>
      </c>
      <c r="L9" s="8">
        <v>-21.79</v>
      </c>
      <c r="M9" s="8">
        <v>0.76380000000000003</v>
      </c>
      <c r="N9" s="9">
        <v>-0.62219016185191478</v>
      </c>
    </row>
    <row r="10" spans="1:14" x14ac:dyDescent="0.25">
      <c r="A10" s="7">
        <v>9</v>
      </c>
      <c r="B10" s="7" t="s">
        <v>69</v>
      </c>
      <c r="C10" s="8">
        <v>0.64049999999999996</v>
      </c>
      <c r="D10" s="8">
        <v>0.22889999999999999</v>
      </c>
      <c r="E10" s="9">
        <v>-2.3420000000000001</v>
      </c>
      <c r="F10" s="8">
        <v>0.63119999999999998</v>
      </c>
      <c r="G10" s="9">
        <v>0.61483478135731884</v>
      </c>
      <c r="H10" s="7">
        <v>33</v>
      </c>
      <c r="I10" s="7" t="s">
        <v>134</v>
      </c>
      <c r="J10" s="8">
        <v>0.66859999999999997</v>
      </c>
      <c r="K10" s="9">
        <v>0.59419999999999995</v>
      </c>
      <c r="L10" s="8">
        <v>-27.93</v>
      </c>
      <c r="M10" s="8">
        <v>0.52139999999999997</v>
      </c>
      <c r="N10" s="9">
        <v>1.7400264839931827</v>
      </c>
    </row>
    <row r="11" spans="1:14" x14ac:dyDescent="0.25">
      <c r="A11" s="7">
        <v>10</v>
      </c>
      <c r="B11" s="7" t="s">
        <v>71</v>
      </c>
      <c r="C11" s="10">
        <v>-0.49980000000000002</v>
      </c>
      <c r="D11" s="10">
        <v>-3.339</v>
      </c>
      <c r="E11" s="11">
        <v>-21.76</v>
      </c>
      <c r="F11" s="10">
        <v>-1.1399999999999999</v>
      </c>
      <c r="G11" s="11">
        <v>2.0586894576293271</v>
      </c>
      <c r="H11" s="7">
        <v>34</v>
      </c>
      <c r="I11" s="7" t="s">
        <v>136</v>
      </c>
      <c r="J11" s="8">
        <v>0.71030000000000004</v>
      </c>
      <c r="K11" s="9">
        <v>0.40749999999999997</v>
      </c>
      <c r="L11" s="8">
        <v>6.3849999999999998</v>
      </c>
      <c r="M11" s="8">
        <v>0.72060000000000002</v>
      </c>
      <c r="N11" s="9">
        <v>-4.2218624063529268E-3</v>
      </c>
    </row>
    <row r="12" spans="1:14" x14ac:dyDescent="0.25">
      <c r="A12" s="7">
        <v>11</v>
      </c>
      <c r="B12" s="7" t="s">
        <v>74</v>
      </c>
      <c r="C12" s="10">
        <v>0.18759999999999999</v>
      </c>
      <c r="D12" s="10">
        <v>-0.85319999999999996</v>
      </c>
      <c r="E12" s="11">
        <v>-40.92</v>
      </c>
      <c r="F12" s="10">
        <v>-0.56799999999999995</v>
      </c>
      <c r="G12" s="11">
        <v>-21.875867494238658</v>
      </c>
      <c r="H12" s="7">
        <v>35</v>
      </c>
      <c r="I12" s="7" t="s">
        <v>138</v>
      </c>
      <c r="J12" s="8">
        <v>0.65890000000000004</v>
      </c>
      <c r="K12" s="9">
        <v>0.50329999999999997</v>
      </c>
      <c r="L12" s="8">
        <v>-4.1550000000000002</v>
      </c>
      <c r="M12" s="8">
        <v>0.60829999999999995</v>
      </c>
      <c r="N12" s="9">
        <v>0.70868233089805777</v>
      </c>
    </row>
    <row r="13" spans="1:14" x14ac:dyDescent="0.25">
      <c r="A13" s="7">
        <v>12</v>
      </c>
      <c r="B13" s="7" t="s">
        <v>78</v>
      </c>
      <c r="C13" s="10">
        <v>4.3549999999999998E-2</v>
      </c>
      <c r="D13" s="10">
        <v>-1.1830000000000001</v>
      </c>
      <c r="E13" s="11">
        <v>3.6179999999999999</v>
      </c>
      <c r="F13" s="10">
        <v>0.10349999999999999</v>
      </c>
      <c r="G13" s="11">
        <v>4.3823745628479562</v>
      </c>
      <c r="H13" s="7">
        <v>36</v>
      </c>
      <c r="I13" s="7" t="s">
        <v>140</v>
      </c>
      <c r="J13" s="8">
        <v>0.77059999999999995</v>
      </c>
      <c r="K13" s="9">
        <v>0.71840000000000004</v>
      </c>
      <c r="L13" s="8">
        <v>-18.73</v>
      </c>
      <c r="M13" s="8">
        <v>0.61739999999999995</v>
      </c>
      <c r="N13" s="9">
        <v>0.29259301658416886</v>
      </c>
    </row>
    <row r="14" spans="1:14" x14ac:dyDescent="0.25">
      <c r="A14" s="7">
        <v>13</v>
      </c>
      <c r="B14" s="7" t="s">
        <v>80</v>
      </c>
      <c r="C14" s="10">
        <v>-0.128</v>
      </c>
      <c r="D14" s="10">
        <v>-2.4430000000000001</v>
      </c>
      <c r="E14" s="11">
        <v>-17.5</v>
      </c>
      <c r="F14" s="10">
        <v>-0.44850000000000001</v>
      </c>
      <c r="G14" s="11">
        <v>-1.3925860373285344</v>
      </c>
      <c r="H14" s="7">
        <v>37</v>
      </c>
      <c r="I14" s="7" t="s">
        <v>142</v>
      </c>
      <c r="J14" s="8">
        <v>0.7218</v>
      </c>
      <c r="K14" s="9">
        <v>0.59209999999999996</v>
      </c>
      <c r="L14" s="8">
        <v>19.59</v>
      </c>
      <c r="M14" s="8">
        <v>0.72719999999999996</v>
      </c>
      <c r="N14" s="9">
        <v>-0.1897404255955063</v>
      </c>
    </row>
    <row r="15" spans="1:14" x14ac:dyDescent="0.25">
      <c r="A15" s="7">
        <v>14</v>
      </c>
      <c r="B15" s="7" t="s">
        <v>84</v>
      </c>
      <c r="C15" s="10">
        <v>-0.38740000000000002</v>
      </c>
      <c r="D15" s="10">
        <v>-2.6019999999999999</v>
      </c>
      <c r="E15" s="11">
        <v>83.47</v>
      </c>
      <c r="F15" s="10">
        <v>9.9680000000000005E-2</v>
      </c>
      <c r="G15" s="11">
        <v>-0.20197247534880872</v>
      </c>
      <c r="H15" s="7">
        <v>38</v>
      </c>
      <c r="I15" s="7" t="s">
        <v>144</v>
      </c>
      <c r="J15" s="8">
        <v>0.57640000000000002</v>
      </c>
      <c r="K15" s="9">
        <v>0.28789999999999999</v>
      </c>
      <c r="L15" s="8">
        <v>-3.2549999999999999</v>
      </c>
      <c r="M15" s="8">
        <v>0.53620000000000001</v>
      </c>
      <c r="N15" s="9">
        <v>0.34568697710867807</v>
      </c>
    </row>
    <row r="16" spans="1:14" x14ac:dyDescent="0.25">
      <c r="A16" s="7">
        <v>15</v>
      </c>
      <c r="B16" s="7" t="s">
        <v>86</v>
      </c>
      <c r="C16" s="10">
        <v>-0.7389</v>
      </c>
      <c r="D16" s="10">
        <v>-6.0369999999999999</v>
      </c>
      <c r="E16" s="11">
        <v>-46.2</v>
      </c>
      <c r="F16" s="10">
        <v>-2.52</v>
      </c>
      <c r="G16" s="11">
        <v>3.7489953795377038</v>
      </c>
      <c r="H16" s="7">
        <v>39</v>
      </c>
      <c r="I16" s="7" t="s">
        <v>146</v>
      </c>
      <c r="J16" s="8">
        <v>0.80500000000000005</v>
      </c>
      <c r="K16" s="9">
        <v>0.77200000000000002</v>
      </c>
      <c r="L16" s="8">
        <v>-15.16</v>
      </c>
      <c r="M16" s="8">
        <v>0.78459999999999996</v>
      </c>
      <c r="N16" s="9">
        <v>-0.3877664301824334</v>
      </c>
    </row>
    <row r="17" spans="1:14" x14ac:dyDescent="0.25">
      <c r="A17" s="7">
        <v>16</v>
      </c>
      <c r="B17" s="7" t="s">
        <v>88</v>
      </c>
      <c r="C17" s="10">
        <v>-0.24460000000000001</v>
      </c>
      <c r="D17" s="10">
        <v>-2.7090000000000001</v>
      </c>
      <c r="E17" s="11">
        <v>-17.670000000000002</v>
      </c>
      <c r="F17" s="10">
        <v>-0.63929999999999998</v>
      </c>
      <c r="G17" s="11">
        <v>-3.3492215036409791</v>
      </c>
      <c r="H17" s="7">
        <v>40</v>
      </c>
      <c r="I17" s="7" t="s">
        <v>148</v>
      </c>
      <c r="J17" s="10">
        <v>0.35199999999999998</v>
      </c>
      <c r="K17" s="11">
        <v>0.15060000000000001</v>
      </c>
      <c r="L17" s="10">
        <v>-48.35</v>
      </c>
      <c r="M17" s="10">
        <v>6.2119999999999996E-3</v>
      </c>
      <c r="N17" s="11">
        <v>3.7595495303421997</v>
      </c>
    </row>
    <row r="18" spans="1:14" x14ac:dyDescent="0.25">
      <c r="A18" s="7">
        <v>17</v>
      </c>
      <c r="B18" s="7" t="s">
        <v>92</v>
      </c>
      <c r="C18" s="10">
        <v>-1.9339999999999999</v>
      </c>
      <c r="D18" s="10">
        <v>-13.6</v>
      </c>
      <c r="E18" s="11">
        <v>-0.19209999999999999</v>
      </c>
      <c r="F18" s="10">
        <v>-1.9410000000000001</v>
      </c>
      <c r="G18" s="11">
        <v>-1.8720333056528915</v>
      </c>
      <c r="H18" s="7">
        <v>41</v>
      </c>
      <c r="I18" s="7" t="s">
        <v>150</v>
      </c>
      <c r="J18" s="10">
        <v>-4.476</v>
      </c>
      <c r="K18" s="11">
        <v>-39.28</v>
      </c>
      <c r="L18" s="10">
        <v>-21.83</v>
      </c>
      <c r="M18" s="10">
        <v>-6.2670000000000003</v>
      </c>
      <c r="N18" s="11">
        <v>-0.56046253271554214</v>
      </c>
    </row>
    <row r="19" spans="1:14" x14ac:dyDescent="0.25">
      <c r="A19" s="7">
        <v>18</v>
      </c>
      <c r="B19" s="7" t="s">
        <v>95</v>
      </c>
      <c r="C19" s="10">
        <v>-4.476</v>
      </c>
      <c r="D19" s="11">
        <v>-39.28</v>
      </c>
      <c r="E19" s="10">
        <v>-21.83</v>
      </c>
      <c r="F19" s="10">
        <v>-6.2670000000000003</v>
      </c>
      <c r="G19" s="11">
        <v>-0.56046253271554214</v>
      </c>
      <c r="H19" s="7">
        <v>42</v>
      </c>
      <c r="I19" s="7" t="s">
        <v>152</v>
      </c>
      <c r="J19" s="8">
        <v>0.5534</v>
      </c>
      <c r="K19" s="9">
        <v>0.11409999999999999</v>
      </c>
      <c r="L19" s="8">
        <v>20.079999999999998</v>
      </c>
      <c r="M19" s="8">
        <v>0.60299999999999998</v>
      </c>
      <c r="N19" s="9">
        <v>0.77514963832688066</v>
      </c>
    </row>
    <row r="20" spans="1:14" x14ac:dyDescent="0.25">
      <c r="A20" s="7">
        <v>19</v>
      </c>
      <c r="B20" s="7" t="s">
        <v>98</v>
      </c>
      <c r="C20" s="10">
        <v>-0.33539999999999998</v>
      </c>
      <c r="D20" s="10">
        <v>-3.07</v>
      </c>
      <c r="E20" s="11">
        <v>-21.56</v>
      </c>
      <c r="F20" s="10">
        <v>-0.88060000000000005</v>
      </c>
      <c r="G20" s="11">
        <v>1.2005269785410981</v>
      </c>
      <c r="H20" s="7">
        <v>43</v>
      </c>
      <c r="I20" s="7" t="s">
        <v>154</v>
      </c>
      <c r="J20" s="8">
        <v>0.56420000000000003</v>
      </c>
      <c r="K20" s="9">
        <v>3.8100000000000002E-2</v>
      </c>
      <c r="L20" s="8">
        <v>-2.4220000000000002</v>
      </c>
      <c r="M20" s="8">
        <v>0.55359999999999998</v>
      </c>
      <c r="N20" s="9">
        <v>0.57913777028287472</v>
      </c>
    </row>
    <row r="21" spans="1:14" x14ac:dyDescent="0.25">
      <c r="A21" s="7">
        <v>20</v>
      </c>
      <c r="B21" s="7" t="s">
        <v>100</v>
      </c>
      <c r="C21" s="10">
        <v>-0.89170000000000005</v>
      </c>
      <c r="D21" s="10">
        <v>-4.1289999999999996</v>
      </c>
      <c r="E21" s="11">
        <v>6.4009999999999998</v>
      </c>
      <c r="F21" s="10">
        <v>-0.72119999999999995</v>
      </c>
      <c r="G21" s="11">
        <v>9.7410746580184393E-2</v>
      </c>
      <c r="H21" s="7">
        <v>44</v>
      </c>
      <c r="I21" s="7" t="s">
        <v>156</v>
      </c>
      <c r="J21" s="10">
        <v>0.33040000000000003</v>
      </c>
      <c r="K21" s="11">
        <v>-0.3175</v>
      </c>
      <c r="L21" s="10">
        <v>-33.85</v>
      </c>
      <c r="M21" s="10">
        <v>-0.2868</v>
      </c>
      <c r="N21" s="11">
        <v>-0.74943050476224016</v>
      </c>
    </row>
    <row r="22" spans="1:14" x14ac:dyDescent="0.25">
      <c r="A22" s="7">
        <v>21</v>
      </c>
      <c r="B22" s="7" t="s">
        <v>102</v>
      </c>
      <c r="C22" s="10">
        <v>-0.42280000000000001</v>
      </c>
      <c r="D22" s="10">
        <v>-2.105</v>
      </c>
      <c r="E22" s="11">
        <v>-17.54</v>
      </c>
      <c r="F22" s="10">
        <v>-0.92600000000000005</v>
      </c>
      <c r="G22" s="11">
        <v>-0.99150724947689994</v>
      </c>
      <c r="H22" s="7">
        <v>45</v>
      </c>
      <c r="I22" s="7" t="s">
        <v>158</v>
      </c>
      <c r="J22" s="10">
        <v>-2.0449999999999999</v>
      </c>
      <c r="K22" s="11">
        <v>-14.51</v>
      </c>
      <c r="L22" s="10">
        <v>15.79</v>
      </c>
      <c r="M22" s="10">
        <v>-1.542</v>
      </c>
      <c r="N22" s="11">
        <v>4.7732429999672483</v>
      </c>
    </row>
    <row r="23" spans="1:14" x14ac:dyDescent="0.25">
      <c r="A23" s="7">
        <v>22</v>
      </c>
      <c r="B23" s="7" t="s">
        <v>104</v>
      </c>
      <c r="C23" s="8">
        <v>0.71909999999999996</v>
      </c>
      <c r="D23" s="8">
        <v>0.59670000000000001</v>
      </c>
      <c r="E23" s="9">
        <v>-4.4930000000000003</v>
      </c>
      <c r="F23" s="8">
        <v>0.66790000000000005</v>
      </c>
      <c r="G23" s="9">
        <v>-1.6315074016545952</v>
      </c>
      <c r="H23" s="7">
        <v>46</v>
      </c>
      <c r="I23" s="7" t="s">
        <v>160</v>
      </c>
      <c r="J23" s="10">
        <v>0.42730000000000001</v>
      </c>
      <c r="K23" s="11">
        <v>-0.2545</v>
      </c>
      <c r="L23" s="10">
        <v>-15.61</v>
      </c>
      <c r="M23" s="10">
        <v>0.23319999999999999</v>
      </c>
      <c r="N23" s="11">
        <v>0.61455275347321825</v>
      </c>
    </row>
    <row r="24" spans="1:14" x14ac:dyDescent="0.25">
      <c r="A24" s="7">
        <v>23</v>
      </c>
      <c r="B24" s="7" t="s">
        <v>106</v>
      </c>
      <c r="C24" s="10">
        <v>-0.51910000000000001</v>
      </c>
      <c r="D24" s="10">
        <v>-3.4249999999999998</v>
      </c>
      <c r="E24" s="11">
        <v>-15.33</v>
      </c>
      <c r="F24" s="10">
        <v>-0.9405</v>
      </c>
      <c r="G24" s="11">
        <v>-0.47427042763995919</v>
      </c>
      <c r="H24" s="7">
        <v>47</v>
      </c>
      <c r="I24" s="7" t="s">
        <v>162</v>
      </c>
      <c r="J24" s="8">
        <v>0.75360000000000005</v>
      </c>
      <c r="K24" s="9">
        <v>0.59160000000000001</v>
      </c>
      <c r="L24" s="8">
        <v>0.4425</v>
      </c>
      <c r="M24" s="8">
        <v>0.75760000000000005</v>
      </c>
      <c r="N24" s="9">
        <v>-2.5404628350571567E-2</v>
      </c>
    </row>
    <row r="25" spans="1:14" x14ac:dyDescent="0.25">
      <c r="A25" s="7">
        <v>24</v>
      </c>
      <c r="B25" s="7" t="s">
        <v>109</v>
      </c>
      <c r="C25" s="10">
        <v>0.36170000000000002</v>
      </c>
      <c r="D25" s="10">
        <v>0.55710000000000004</v>
      </c>
      <c r="E25" s="11">
        <v>-43.87</v>
      </c>
      <c r="F25" s="10">
        <v>0.54279999999999995</v>
      </c>
      <c r="G25" s="11">
        <v>0.69324133735812798</v>
      </c>
      <c r="H25" s="7"/>
      <c r="I25" s="7"/>
      <c r="J25" s="7"/>
      <c r="K25" s="7"/>
      <c r="L25" s="7"/>
      <c r="M25" s="7"/>
      <c r="N2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GaugesStation_CAMELS-spat_RHBN2</vt:lpstr>
      <vt:lpstr>Sheet1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Tesemma,Zelalem (il | he, him) (ECCC)</dc:creator>
  <cp:lastModifiedBy>Tesemma,Zelalem (il | he, him) (ECCC)</cp:lastModifiedBy>
  <dcterms:created xsi:type="dcterms:W3CDTF">2024-11-22T16:07:38Z</dcterms:created>
  <dcterms:modified xsi:type="dcterms:W3CDTF">2024-12-05T17:07:53Z</dcterms:modified>
</cp:coreProperties>
</file>